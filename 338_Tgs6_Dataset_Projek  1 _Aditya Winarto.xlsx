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3\Sains Komputasi\PROJEK 1\"/>
    </mc:Choice>
  </mc:AlternateContent>
  <xr:revisionPtr revIDLastSave="0" documentId="13_ncr:1_{FD9415CE-E69B-4EB4-825C-DA062B8B05B1}" xr6:coauthVersionLast="47" xr6:coauthVersionMax="47" xr10:uidLastSave="{00000000-0000-0000-0000-000000000000}"/>
  <bookViews>
    <workbookView xWindow="-108" yWindow="-108" windowWidth="23256" windowHeight="12456" activeTab="2" xr2:uid="{9F750D34-BE44-4F4E-8B2A-38C743FE2A8C}"/>
  </bookViews>
  <sheets>
    <sheet name="DATAEURUSD" sheetId="7" r:id="rId1"/>
    <sheet name="x1x2EURUSD" sheetId="8" r:id="rId2"/>
    <sheet name="MLREURUSD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8" l="1"/>
  <c r="O180" i="10"/>
  <c r="N180" i="10"/>
  <c r="M193" i="10"/>
  <c r="O190" i="10"/>
  <c r="M190" i="10"/>
  <c r="N190" i="10"/>
  <c r="L190" i="10"/>
  <c r="AA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G10" i="8"/>
  <c r="J3" i="8"/>
  <c r="I3" i="8"/>
  <c r="H3" i="8"/>
  <c r="G3" i="8"/>
  <c r="K3" i="8"/>
  <c r="K172" i="8" l="1"/>
  <c r="P172" i="8" s="1"/>
  <c r="C176" i="10"/>
  <c r="C182" i="10" s="1"/>
  <c r="C188" i="10" s="1"/>
  <c r="C194" i="10" s="1"/>
  <c r="C200" i="10" s="1"/>
  <c r="G172" i="8"/>
  <c r="L172" i="8" s="1"/>
  <c r="G116" i="8"/>
  <c r="L116" i="8" s="1"/>
  <c r="H116" i="8"/>
  <c r="I116" i="8"/>
  <c r="T116" i="8" s="1"/>
  <c r="J116" i="8"/>
  <c r="K116" i="8"/>
  <c r="G117" i="8"/>
  <c r="H117" i="8"/>
  <c r="I117" i="8"/>
  <c r="J117" i="8"/>
  <c r="K117" i="8"/>
  <c r="P117" i="8" s="1"/>
  <c r="G118" i="8"/>
  <c r="H118" i="8"/>
  <c r="M118" i="8" s="1"/>
  <c r="I118" i="8"/>
  <c r="N118" i="8" s="1"/>
  <c r="J118" i="8"/>
  <c r="K118" i="8"/>
  <c r="G119" i="8"/>
  <c r="L119" i="8" s="1"/>
  <c r="H119" i="8"/>
  <c r="M119" i="8" s="1"/>
  <c r="I119" i="8"/>
  <c r="N119" i="8" s="1"/>
  <c r="J119" i="8"/>
  <c r="O119" i="8" s="1"/>
  <c r="K119" i="8"/>
  <c r="G120" i="8"/>
  <c r="L120" i="8" s="1"/>
  <c r="H120" i="8"/>
  <c r="M120" i="8" s="1"/>
  <c r="I120" i="8"/>
  <c r="J120" i="8"/>
  <c r="K120" i="8"/>
  <c r="P120" i="8"/>
  <c r="Q120" i="8"/>
  <c r="G121" i="8"/>
  <c r="L121" i="8" s="1"/>
  <c r="H121" i="8"/>
  <c r="M121" i="8" s="1"/>
  <c r="I121" i="8"/>
  <c r="J121" i="8"/>
  <c r="K121" i="8"/>
  <c r="G122" i="8"/>
  <c r="H122" i="8"/>
  <c r="I122" i="8"/>
  <c r="N122" i="8" s="1"/>
  <c r="J122" i="8"/>
  <c r="K122" i="8"/>
  <c r="Y122" i="8" s="1"/>
  <c r="G123" i="8"/>
  <c r="L123" i="8" s="1"/>
  <c r="H123" i="8"/>
  <c r="I123" i="8"/>
  <c r="J123" i="8"/>
  <c r="O123" i="8" s="1"/>
  <c r="K123" i="8"/>
  <c r="G124" i="8"/>
  <c r="H124" i="8"/>
  <c r="I124" i="8"/>
  <c r="N124" i="8" s="1"/>
  <c r="J124" i="8"/>
  <c r="O124" i="8" s="1"/>
  <c r="K124" i="8"/>
  <c r="P124" i="8"/>
  <c r="G125" i="8"/>
  <c r="L125" i="8" s="1"/>
  <c r="H125" i="8"/>
  <c r="Q125" i="8" s="1"/>
  <c r="I125" i="8"/>
  <c r="R125" i="8" s="1"/>
  <c r="J125" i="8"/>
  <c r="K125" i="8"/>
  <c r="G126" i="8"/>
  <c r="H126" i="8"/>
  <c r="M126" i="8" s="1"/>
  <c r="I126" i="8"/>
  <c r="N126" i="8" s="1"/>
  <c r="J126" i="8"/>
  <c r="O126" i="8" s="1"/>
  <c r="K126" i="8"/>
  <c r="P126" i="8" s="1"/>
  <c r="G127" i="8"/>
  <c r="L127" i="8" s="1"/>
  <c r="H127" i="8"/>
  <c r="I127" i="8"/>
  <c r="J127" i="8"/>
  <c r="O127" i="8" s="1"/>
  <c r="K127" i="8"/>
  <c r="P127" i="8" s="1"/>
  <c r="G128" i="8"/>
  <c r="H128" i="8"/>
  <c r="I128" i="8"/>
  <c r="J128" i="8"/>
  <c r="O128" i="8" s="1"/>
  <c r="K128" i="8"/>
  <c r="P128" i="8" s="1"/>
  <c r="G129" i="8"/>
  <c r="L129" i="8" s="1"/>
  <c r="H129" i="8"/>
  <c r="M129" i="8" s="1"/>
  <c r="I129" i="8"/>
  <c r="J129" i="8"/>
  <c r="U129" i="8" s="1"/>
  <c r="K129" i="8"/>
  <c r="G130" i="8"/>
  <c r="L130" i="8" s="1"/>
  <c r="H130" i="8"/>
  <c r="I130" i="8"/>
  <c r="N130" i="8" s="1"/>
  <c r="J130" i="8"/>
  <c r="O130" i="8" s="1"/>
  <c r="K130" i="8"/>
  <c r="P130" i="8" s="1"/>
  <c r="G131" i="8"/>
  <c r="H131" i="8"/>
  <c r="I131" i="8"/>
  <c r="N131" i="8" s="1"/>
  <c r="J131" i="8"/>
  <c r="O131" i="8" s="1"/>
  <c r="K131" i="8"/>
  <c r="P131" i="8" s="1"/>
  <c r="G132" i="8"/>
  <c r="H132" i="8"/>
  <c r="M132" i="8" s="1"/>
  <c r="I132" i="8"/>
  <c r="N132" i="8" s="1"/>
  <c r="J132" i="8"/>
  <c r="O132" i="8" s="1"/>
  <c r="K132" i="8"/>
  <c r="P132" i="8" s="1"/>
  <c r="G133" i="8"/>
  <c r="H133" i="8"/>
  <c r="M133" i="8" s="1"/>
  <c r="I133" i="8"/>
  <c r="J133" i="8"/>
  <c r="O133" i="8" s="1"/>
  <c r="K133" i="8"/>
  <c r="P133" i="8" s="1"/>
  <c r="G134" i="8"/>
  <c r="H134" i="8"/>
  <c r="M134" i="8" s="1"/>
  <c r="I134" i="8"/>
  <c r="N134" i="8" s="1"/>
  <c r="J134" i="8"/>
  <c r="K134" i="8"/>
  <c r="G135" i="8"/>
  <c r="H135" i="8"/>
  <c r="M135" i="8" s="1"/>
  <c r="I135" i="8"/>
  <c r="J135" i="8"/>
  <c r="O135" i="8" s="1"/>
  <c r="K135" i="8"/>
  <c r="P135" i="8" s="1"/>
  <c r="G136" i="8"/>
  <c r="H136" i="8"/>
  <c r="M136" i="8" s="1"/>
  <c r="I136" i="8"/>
  <c r="J136" i="8"/>
  <c r="K136" i="8"/>
  <c r="G137" i="8"/>
  <c r="H137" i="8"/>
  <c r="I137" i="8"/>
  <c r="N137" i="8" s="1"/>
  <c r="J137" i="8"/>
  <c r="K137" i="8"/>
  <c r="G138" i="8"/>
  <c r="H138" i="8"/>
  <c r="I138" i="8"/>
  <c r="J138" i="8"/>
  <c r="O138" i="8" s="1"/>
  <c r="K138" i="8"/>
  <c r="P138" i="8" s="1"/>
  <c r="G139" i="8"/>
  <c r="L139" i="8" s="1"/>
  <c r="H139" i="8"/>
  <c r="M139" i="8" s="1"/>
  <c r="I139" i="8"/>
  <c r="R139" i="8" s="1"/>
  <c r="J139" i="8"/>
  <c r="U139" i="8" s="1"/>
  <c r="K139" i="8"/>
  <c r="P139" i="8" s="1"/>
  <c r="G140" i="8"/>
  <c r="L140" i="8" s="1"/>
  <c r="H140" i="8"/>
  <c r="I140" i="8"/>
  <c r="N140" i="8" s="1"/>
  <c r="J140" i="8"/>
  <c r="O140" i="8" s="1"/>
  <c r="K140" i="8"/>
  <c r="P140" i="8" s="1"/>
  <c r="G141" i="8"/>
  <c r="L141" i="8" s="1"/>
  <c r="H141" i="8"/>
  <c r="M141" i="8" s="1"/>
  <c r="I141" i="8"/>
  <c r="J141" i="8"/>
  <c r="K141" i="8"/>
  <c r="P141" i="8"/>
  <c r="G142" i="8"/>
  <c r="L142" i="8" s="1"/>
  <c r="H142" i="8"/>
  <c r="M142" i="8" s="1"/>
  <c r="I142" i="8"/>
  <c r="N142" i="8" s="1"/>
  <c r="J142" i="8"/>
  <c r="O142" i="8" s="1"/>
  <c r="K142" i="8"/>
  <c r="P142" i="8" s="1"/>
  <c r="G143" i="8"/>
  <c r="H143" i="8"/>
  <c r="X143" i="8" s="1"/>
  <c r="I143" i="8"/>
  <c r="R143" i="8" s="1"/>
  <c r="J143" i="8"/>
  <c r="K143" i="8"/>
  <c r="W143" i="8" s="1"/>
  <c r="L143" i="8"/>
  <c r="M143" i="8"/>
  <c r="Q143" i="8"/>
  <c r="G144" i="8"/>
  <c r="H144" i="8"/>
  <c r="M144" i="8" s="1"/>
  <c r="I144" i="8"/>
  <c r="T144" i="8" s="1"/>
  <c r="J144" i="8"/>
  <c r="K144" i="8"/>
  <c r="P144" i="8" s="1"/>
  <c r="G145" i="8"/>
  <c r="H145" i="8"/>
  <c r="I145" i="8"/>
  <c r="J145" i="8"/>
  <c r="O145" i="8" s="1"/>
  <c r="K145" i="8"/>
  <c r="P145" i="8" s="1"/>
  <c r="N145" i="8"/>
  <c r="G146" i="8"/>
  <c r="H146" i="8"/>
  <c r="M146" i="8" s="1"/>
  <c r="I146" i="8"/>
  <c r="J146" i="8"/>
  <c r="O146" i="8" s="1"/>
  <c r="K146" i="8"/>
  <c r="P146" i="8"/>
  <c r="G147" i="8"/>
  <c r="H147" i="8"/>
  <c r="I147" i="8"/>
  <c r="J147" i="8"/>
  <c r="K147" i="8"/>
  <c r="P147" i="8" s="1"/>
  <c r="G148" i="8"/>
  <c r="L148" i="8" s="1"/>
  <c r="H148" i="8"/>
  <c r="M148" i="8" s="1"/>
  <c r="I148" i="8"/>
  <c r="N148" i="8" s="1"/>
  <c r="J148" i="8"/>
  <c r="K148" i="8"/>
  <c r="G149" i="8"/>
  <c r="L149" i="8" s="1"/>
  <c r="H149" i="8"/>
  <c r="I149" i="8"/>
  <c r="J149" i="8"/>
  <c r="K149" i="8"/>
  <c r="P149" i="8" s="1"/>
  <c r="N149" i="8"/>
  <c r="G150" i="8"/>
  <c r="Q150" i="8" s="1"/>
  <c r="H150" i="8"/>
  <c r="M150" i="8" s="1"/>
  <c r="I150" i="8"/>
  <c r="J150" i="8"/>
  <c r="K150" i="8"/>
  <c r="P150" i="8" s="1"/>
  <c r="Z150" i="8"/>
  <c r="G151" i="8"/>
  <c r="H151" i="8"/>
  <c r="M151" i="8" s="1"/>
  <c r="I151" i="8"/>
  <c r="N151" i="8" s="1"/>
  <c r="J151" i="8"/>
  <c r="O151" i="8" s="1"/>
  <c r="K151" i="8"/>
  <c r="Y151" i="8" s="1"/>
  <c r="G152" i="8"/>
  <c r="H152" i="8"/>
  <c r="M152" i="8" s="1"/>
  <c r="I152" i="8"/>
  <c r="J152" i="8"/>
  <c r="K152" i="8"/>
  <c r="P152" i="8" s="1"/>
  <c r="N152" i="8"/>
  <c r="O152" i="8"/>
  <c r="G153" i="8"/>
  <c r="L153" i="8" s="1"/>
  <c r="H153" i="8"/>
  <c r="I153" i="8"/>
  <c r="J153" i="8"/>
  <c r="K153" i="8"/>
  <c r="P153" i="8" s="1"/>
  <c r="G154" i="8"/>
  <c r="H154" i="8"/>
  <c r="I154" i="8"/>
  <c r="N154" i="8" s="1"/>
  <c r="J154" i="8"/>
  <c r="K154" i="8"/>
  <c r="M154" i="8"/>
  <c r="G155" i="8"/>
  <c r="H155" i="8"/>
  <c r="M155" i="8" s="1"/>
  <c r="I155" i="8"/>
  <c r="N155" i="8" s="1"/>
  <c r="J155" i="8"/>
  <c r="K155" i="8"/>
  <c r="G156" i="8"/>
  <c r="H156" i="8"/>
  <c r="I156" i="8"/>
  <c r="J156" i="8"/>
  <c r="O156" i="8" s="1"/>
  <c r="K156" i="8"/>
  <c r="P156" i="8" s="1"/>
  <c r="N156" i="8"/>
  <c r="G157" i="8"/>
  <c r="H157" i="8"/>
  <c r="I157" i="8"/>
  <c r="J157" i="8"/>
  <c r="O157" i="8" s="1"/>
  <c r="K157" i="8"/>
  <c r="P157" i="8" s="1"/>
  <c r="G158" i="8"/>
  <c r="L158" i="8" s="1"/>
  <c r="H158" i="8"/>
  <c r="M158" i="8" s="1"/>
  <c r="I158" i="8"/>
  <c r="N158" i="8" s="1"/>
  <c r="J158" i="8"/>
  <c r="O158" i="8" s="1"/>
  <c r="K158" i="8"/>
  <c r="Y158" i="8" s="1"/>
  <c r="Q158" i="8"/>
  <c r="G159" i="8"/>
  <c r="H159" i="8"/>
  <c r="I159" i="8"/>
  <c r="N159" i="8" s="1"/>
  <c r="J159" i="8"/>
  <c r="U159" i="8" s="1"/>
  <c r="K159" i="8"/>
  <c r="P159" i="8" s="1"/>
  <c r="G160" i="8"/>
  <c r="H160" i="8"/>
  <c r="I160" i="8"/>
  <c r="J160" i="8"/>
  <c r="K160" i="8"/>
  <c r="P160" i="8" s="1"/>
  <c r="G161" i="8"/>
  <c r="L161" i="8" s="1"/>
  <c r="H161" i="8"/>
  <c r="M161" i="8" s="1"/>
  <c r="I161" i="8"/>
  <c r="N161" i="8" s="1"/>
  <c r="J161" i="8"/>
  <c r="K161" i="8"/>
  <c r="P161" i="8" s="1"/>
  <c r="G162" i="8"/>
  <c r="L162" i="8" s="1"/>
  <c r="H162" i="8"/>
  <c r="I162" i="8"/>
  <c r="J162" i="8"/>
  <c r="K162" i="8"/>
  <c r="P162" i="8" s="1"/>
  <c r="N162" i="8"/>
  <c r="G163" i="8"/>
  <c r="H163" i="8"/>
  <c r="I163" i="8"/>
  <c r="J163" i="8"/>
  <c r="O163" i="8" s="1"/>
  <c r="K163" i="8"/>
  <c r="W163" i="8" s="1"/>
  <c r="G164" i="8"/>
  <c r="H164" i="8"/>
  <c r="M164" i="8" s="1"/>
  <c r="I164" i="8"/>
  <c r="J164" i="8"/>
  <c r="K164" i="8"/>
  <c r="P164" i="8" s="1"/>
  <c r="G165" i="8"/>
  <c r="H165" i="8"/>
  <c r="I165" i="8"/>
  <c r="N165" i="8" s="1"/>
  <c r="J165" i="8"/>
  <c r="O165" i="8" s="1"/>
  <c r="K165" i="8"/>
  <c r="P165" i="8" s="1"/>
  <c r="L165" i="8"/>
  <c r="G166" i="8"/>
  <c r="H166" i="8"/>
  <c r="M166" i="8" s="1"/>
  <c r="I166" i="8"/>
  <c r="N166" i="8" s="1"/>
  <c r="J166" i="8"/>
  <c r="O166" i="8" s="1"/>
  <c r="K166" i="8"/>
  <c r="P166" i="8" s="1"/>
  <c r="Y166" i="8"/>
  <c r="Z166" i="8"/>
  <c r="G167" i="8"/>
  <c r="H167" i="8"/>
  <c r="M167" i="8" s="1"/>
  <c r="I167" i="8"/>
  <c r="N167" i="8" s="1"/>
  <c r="J167" i="8"/>
  <c r="O167" i="8" s="1"/>
  <c r="K167" i="8"/>
  <c r="G168" i="8"/>
  <c r="L168" i="8" s="1"/>
  <c r="H168" i="8"/>
  <c r="M168" i="8" s="1"/>
  <c r="I168" i="8"/>
  <c r="J168" i="8"/>
  <c r="K168" i="8"/>
  <c r="P168" i="8" s="1"/>
  <c r="G169" i="8"/>
  <c r="H169" i="8"/>
  <c r="I169" i="8"/>
  <c r="T169" i="8" s="1"/>
  <c r="J169" i="8"/>
  <c r="O169" i="8" s="1"/>
  <c r="K169" i="8"/>
  <c r="G170" i="8"/>
  <c r="L170" i="8" s="1"/>
  <c r="H170" i="8"/>
  <c r="M170" i="8" s="1"/>
  <c r="I170" i="8"/>
  <c r="N170" i="8" s="1"/>
  <c r="J170" i="8"/>
  <c r="K170" i="8"/>
  <c r="P170" i="8" s="1"/>
  <c r="O170" i="8"/>
  <c r="G171" i="8"/>
  <c r="L171" i="8" s="1"/>
  <c r="H171" i="8"/>
  <c r="M171" i="8" s="1"/>
  <c r="I171" i="8"/>
  <c r="N171" i="8" s="1"/>
  <c r="J171" i="8"/>
  <c r="O171" i="8" s="1"/>
  <c r="K171" i="8"/>
  <c r="P171" i="8" s="1"/>
  <c r="H172" i="8"/>
  <c r="M172" i="8" s="1"/>
  <c r="I172" i="8"/>
  <c r="J172" i="8"/>
  <c r="G105" i="8"/>
  <c r="H105" i="8"/>
  <c r="I105" i="8"/>
  <c r="N105" i="8" s="1"/>
  <c r="J105" i="8"/>
  <c r="O105" i="8" s="1"/>
  <c r="K105" i="8"/>
  <c r="Y105" i="8" s="1"/>
  <c r="G106" i="8"/>
  <c r="H106" i="8"/>
  <c r="I106" i="8"/>
  <c r="J106" i="8"/>
  <c r="K106" i="8"/>
  <c r="P106" i="8"/>
  <c r="G107" i="8"/>
  <c r="H107" i="8"/>
  <c r="I107" i="8"/>
  <c r="N107" i="8" s="1"/>
  <c r="J107" i="8"/>
  <c r="K107" i="8"/>
  <c r="P107" i="8" s="1"/>
  <c r="G108" i="8"/>
  <c r="L108" i="8" s="1"/>
  <c r="H108" i="8"/>
  <c r="I108" i="8"/>
  <c r="N108" i="8" s="1"/>
  <c r="J108" i="8"/>
  <c r="K108" i="8"/>
  <c r="P108" i="8" s="1"/>
  <c r="G109" i="8"/>
  <c r="H109" i="8"/>
  <c r="M109" i="8" s="1"/>
  <c r="I109" i="8"/>
  <c r="J109" i="8"/>
  <c r="K109" i="8"/>
  <c r="P109" i="8" s="1"/>
  <c r="G110" i="8"/>
  <c r="H110" i="8"/>
  <c r="M110" i="8" s="1"/>
  <c r="I110" i="8"/>
  <c r="J110" i="8"/>
  <c r="O110" i="8" s="1"/>
  <c r="K110" i="8"/>
  <c r="G111" i="8"/>
  <c r="H111" i="8"/>
  <c r="I111" i="8"/>
  <c r="J111" i="8"/>
  <c r="K111" i="8"/>
  <c r="P111" i="8" s="1"/>
  <c r="G112" i="8"/>
  <c r="H112" i="8"/>
  <c r="M112" i="8" s="1"/>
  <c r="I112" i="8"/>
  <c r="J112" i="8"/>
  <c r="K112" i="8"/>
  <c r="P112" i="8"/>
  <c r="G113" i="8"/>
  <c r="H113" i="8"/>
  <c r="M113" i="8" s="1"/>
  <c r="I113" i="8"/>
  <c r="T113" i="8" s="1"/>
  <c r="J113" i="8"/>
  <c r="O113" i="8" s="1"/>
  <c r="K113" i="8"/>
  <c r="P113" i="8" s="1"/>
  <c r="G114" i="8"/>
  <c r="H114" i="8"/>
  <c r="M114" i="8" s="1"/>
  <c r="I114" i="8"/>
  <c r="J114" i="8"/>
  <c r="K114" i="8"/>
  <c r="P114" i="8" s="1"/>
  <c r="G115" i="8"/>
  <c r="H115" i="8"/>
  <c r="M115" i="8" s="1"/>
  <c r="I115" i="8"/>
  <c r="J115" i="8"/>
  <c r="K115" i="8"/>
  <c r="P115" i="8"/>
  <c r="G53" i="8"/>
  <c r="H53" i="8"/>
  <c r="I53" i="8"/>
  <c r="J53" i="8"/>
  <c r="K53" i="8"/>
  <c r="P53" i="8" s="1"/>
  <c r="G54" i="8"/>
  <c r="L54" i="8" s="1"/>
  <c r="H54" i="8"/>
  <c r="M54" i="8" s="1"/>
  <c r="I54" i="8"/>
  <c r="R54" i="8" s="1"/>
  <c r="J54" i="8"/>
  <c r="O54" i="8" s="1"/>
  <c r="K54" i="8"/>
  <c r="G55" i="8"/>
  <c r="H55" i="8"/>
  <c r="M55" i="8" s="1"/>
  <c r="I55" i="8"/>
  <c r="R55" i="8" s="1"/>
  <c r="J55" i="8"/>
  <c r="K55" i="8"/>
  <c r="G56" i="8"/>
  <c r="H56" i="8"/>
  <c r="I56" i="8"/>
  <c r="J56" i="8"/>
  <c r="K56" i="8"/>
  <c r="P56" i="8" s="1"/>
  <c r="G57" i="8"/>
  <c r="L57" i="8" s="1"/>
  <c r="H57" i="8"/>
  <c r="M57" i="8" s="1"/>
  <c r="I57" i="8"/>
  <c r="R57" i="8" s="1"/>
  <c r="J57" i="8"/>
  <c r="K57" i="8"/>
  <c r="G58" i="8"/>
  <c r="H58" i="8"/>
  <c r="M58" i="8" s="1"/>
  <c r="I58" i="8"/>
  <c r="J58" i="8"/>
  <c r="K58" i="8"/>
  <c r="N58" i="8"/>
  <c r="P58" i="8"/>
  <c r="Y58" i="8"/>
  <c r="G59" i="8"/>
  <c r="H59" i="8"/>
  <c r="I59" i="8"/>
  <c r="J59" i="8"/>
  <c r="K59" i="8"/>
  <c r="P59" i="8" s="1"/>
  <c r="G60" i="8"/>
  <c r="L60" i="8" s="1"/>
  <c r="H60" i="8"/>
  <c r="I60" i="8"/>
  <c r="J60" i="8"/>
  <c r="K60" i="8"/>
  <c r="P60" i="8" s="1"/>
  <c r="M60" i="8"/>
  <c r="N60" i="8"/>
  <c r="O60" i="8"/>
  <c r="G61" i="8"/>
  <c r="H61" i="8"/>
  <c r="M61" i="8" s="1"/>
  <c r="I61" i="8"/>
  <c r="N61" i="8" s="1"/>
  <c r="J61" i="8"/>
  <c r="K61" i="8"/>
  <c r="O61" i="8"/>
  <c r="P61" i="8"/>
  <c r="Z61" i="8"/>
  <c r="G62" i="8"/>
  <c r="H62" i="8"/>
  <c r="I62" i="8"/>
  <c r="J62" i="8"/>
  <c r="K62" i="8"/>
  <c r="P62" i="8" s="1"/>
  <c r="G63" i="8"/>
  <c r="L63" i="8" s="1"/>
  <c r="H63" i="8"/>
  <c r="I63" i="8"/>
  <c r="J63" i="8"/>
  <c r="V63" i="8" s="1"/>
  <c r="K63" i="8"/>
  <c r="P63" i="8" s="1"/>
  <c r="M63" i="8"/>
  <c r="N63" i="8"/>
  <c r="G64" i="8"/>
  <c r="H64" i="8"/>
  <c r="M64" i="8" s="1"/>
  <c r="I64" i="8"/>
  <c r="N64" i="8" s="1"/>
  <c r="J64" i="8"/>
  <c r="O64" i="8" s="1"/>
  <c r="K64" i="8"/>
  <c r="P64" i="8" s="1"/>
  <c r="G65" i="8"/>
  <c r="H65" i="8"/>
  <c r="I65" i="8"/>
  <c r="J65" i="8"/>
  <c r="K65" i="8"/>
  <c r="P65" i="8" s="1"/>
  <c r="G66" i="8"/>
  <c r="L66" i="8" s="1"/>
  <c r="H66" i="8"/>
  <c r="M66" i="8" s="1"/>
  <c r="I66" i="8"/>
  <c r="T66" i="8" s="1"/>
  <c r="J66" i="8"/>
  <c r="K66" i="8"/>
  <c r="P66" i="8" s="1"/>
  <c r="G67" i="8"/>
  <c r="H67" i="8"/>
  <c r="I67" i="8"/>
  <c r="N67" i="8" s="1"/>
  <c r="J67" i="8"/>
  <c r="O67" i="8" s="1"/>
  <c r="K67" i="8"/>
  <c r="P67" i="8" s="1"/>
  <c r="G68" i="8"/>
  <c r="H68" i="8"/>
  <c r="I68" i="8"/>
  <c r="J68" i="8"/>
  <c r="K68" i="8"/>
  <c r="P68" i="8" s="1"/>
  <c r="G69" i="8"/>
  <c r="H69" i="8"/>
  <c r="M69" i="8" s="1"/>
  <c r="I69" i="8"/>
  <c r="N69" i="8" s="1"/>
  <c r="J69" i="8"/>
  <c r="O69" i="8" s="1"/>
  <c r="K69" i="8"/>
  <c r="P69" i="8" s="1"/>
  <c r="G70" i="8"/>
  <c r="H70" i="8"/>
  <c r="I70" i="8"/>
  <c r="J70" i="8"/>
  <c r="O70" i="8" s="1"/>
  <c r="K70" i="8"/>
  <c r="P70" i="8" s="1"/>
  <c r="G71" i="8"/>
  <c r="H71" i="8"/>
  <c r="U71" i="8" s="1"/>
  <c r="I71" i="8"/>
  <c r="J71" i="8"/>
  <c r="K71" i="8"/>
  <c r="P71" i="8" s="1"/>
  <c r="G72" i="8"/>
  <c r="H72" i="8"/>
  <c r="M72" i="8" s="1"/>
  <c r="I72" i="8"/>
  <c r="J72" i="8"/>
  <c r="K72" i="8"/>
  <c r="P72" i="8" s="1"/>
  <c r="G73" i="8"/>
  <c r="H73" i="8"/>
  <c r="M73" i="8" s="1"/>
  <c r="I73" i="8"/>
  <c r="J73" i="8"/>
  <c r="K73" i="8"/>
  <c r="G74" i="8"/>
  <c r="H74" i="8"/>
  <c r="I74" i="8"/>
  <c r="J74" i="8"/>
  <c r="K74" i="8"/>
  <c r="P74" i="8" s="1"/>
  <c r="G75" i="8"/>
  <c r="H75" i="8"/>
  <c r="I75" i="8"/>
  <c r="J75" i="8"/>
  <c r="K75" i="8"/>
  <c r="P75" i="8" s="1"/>
  <c r="G76" i="8"/>
  <c r="H76" i="8"/>
  <c r="M76" i="8" s="1"/>
  <c r="I76" i="8"/>
  <c r="N76" i="8" s="1"/>
  <c r="J76" i="8"/>
  <c r="K76" i="8"/>
  <c r="P76" i="8" s="1"/>
  <c r="G77" i="8"/>
  <c r="H77" i="8"/>
  <c r="I77" i="8"/>
  <c r="J77" i="8"/>
  <c r="S77" i="8" s="1"/>
  <c r="K77" i="8"/>
  <c r="P77" i="8" s="1"/>
  <c r="G78" i="8"/>
  <c r="H78" i="8"/>
  <c r="M78" i="8" s="1"/>
  <c r="I78" i="8"/>
  <c r="N78" i="8" s="1"/>
  <c r="J78" i="8"/>
  <c r="O78" i="8" s="1"/>
  <c r="K78" i="8"/>
  <c r="P78" i="8" s="1"/>
  <c r="G79" i="8"/>
  <c r="H79" i="8"/>
  <c r="M79" i="8" s="1"/>
  <c r="I79" i="8"/>
  <c r="N79" i="8" s="1"/>
  <c r="J79" i="8"/>
  <c r="O79" i="8" s="1"/>
  <c r="K79" i="8"/>
  <c r="P79" i="8" s="1"/>
  <c r="G80" i="8"/>
  <c r="H80" i="8"/>
  <c r="I80" i="8"/>
  <c r="N80" i="8" s="1"/>
  <c r="J80" i="8"/>
  <c r="O80" i="8" s="1"/>
  <c r="K80" i="8"/>
  <c r="P80" i="8" s="1"/>
  <c r="G81" i="8"/>
  <c r="H81" i="8"/>
  <c r="M81" i="8" s="1"/>
  <c r="I81" i="8"/>
  <c r="J81" i="8"/>
  <c r="K81" i="8"/>
  <c r="P81" i="8" s="1"/>
  <c r="G82" i="8"/>
  <c r="H82" i="8"/>
  <c r="M82" i="8" s="1"/>
  <c r="I82" i="8"/>
  <c r="J82" i="8"/>
  <c r="O82" i="8" s="1"/>
  <c r="K82" i="8"/>
  <c r="P82" i="8" s="1"/>
  <c r="G83" i="8"/>
  <c r="L83" i="8" s="1"/>
  <c r="H83" i="8"/>
  <c r="I83" i="8"/>
  <c r="J83" i="8"/>
  <c r="O83" i="8" s="1"/>
  <c r="K83" i="8"/>
  <c r="P83" i="8" s="1"/>
  <c r="G84" i="8"/>
  <c r="L84" i="8" s="1"/>
  <c r="H84" i="8"/>
  <c r="M84" i="8" s="1"/>
  <c r="I84" i="8"/>
  <c r="T84" i="8" s="1"/>
  <c r="J84" i="8"/>
  <c r="K84" i="8"/>
  <c r="P84" i="8" s="1"/>
  <c r="G85" i="8"/>
  <c r="H85" i="8"/>
  <c r="M85" i="8" s="1"/>
  <c r="I85" i="8"/>
  <c r="N85" i="8" s="1"/>
  <c r="J85" i="8"/>
  <c r="Z85" i="8" s="1"/>
  <c r="K85" i="8"/>
  <c r="G86" i="8"/>
  <c r="H86" i="8"/>
  <c r="I86" i="8"/>
  <c r="J86" i="8"/>
  <c r="O86" i="8" s="1"/>
  <c r="K86" i="8"/>
  <c r="P86" i="8" s="1"/>
  <c r="G87" i="8"/>
  <c r="H87" i="8"/>
  <c r="M87" i="8" s="1"/>
  <c r="I87" i="8"/>
  <c r="J87" i="8"/>
  <c r="K87" i="8"/>
  <c r="G88" i="8"/>
  <c r="H88" i="8"/>
  <c r="M88" i="8" s="1"/>
  <c r="I88" i="8"/>
  <c r="N88" i="8" s="1"/>
  <c r="J88" i="8"/>
  <c r="K88" i="8"/>
  <c r="G89" i="8"/>
  <c r="L89" i="8" s="1"/>
  <c r="H89" i="8"/>
  <c r="I89" i="8"/>
  <c r="J89" i="8"/>
  <c r="O89" i="8" s="1"/>
  <c r="K89" i="8"/>
  <c r="P89" i="8" s="1"/>
  <c r="N89" i="8"/>
  <c r="G90" i="8"/>
  <c r="H90" i="8"/>
  <c r="I90" i="8"/>
  <c r="J90" i="8"/>
  <c r="K90" i="8"/>
  <c r="P90" i="8" s="1"/>
  <c r="G91" i="8"/>
  <c r="H91" i="8"/>
  <c r="I91" i="8"/>
  <c r="N91" i="8" s="1"/>
  <c r="J91" i="8"/>
  <c r="O91" i="8" s="1"/>
  <c r="K91" i="8"/>
  <c r="G92" i="8"/>
  <c r="L92" i="8" s="1"/>
  <c r="H92" i="8"/>
  <c r="Q92" i="8" s="1"/>
  <c r="I92" i="8"/>
  <c r="N92" i="8" s="1"/>
  <c r="J92" i="8"/>
  <c r="O92" i="8" s="1"/>
  <c r="K92" i="8"/>
  <c r="P92" i="8" s="1"/>
  <c r="G93" i="8"/>
  <c r="H93" i="8"/>
  <c r="I93" i="8"/>
  <c r="J93" i="8"/>
  <c r="S93" i="8" s="1"/>
  <c r="K93" i="8"/>
  <c r="P93" i="8" s="1"/>
  <c r="L93" i="8"/>
  <c r="M93" i="8"/>
  <c r="N93" i="8"/>
  <c r="Q93" i="8"/>
  <c r="G94" i="8"/>
  <c r="H94" i="8"/>
  <c r="M94" i="8" s="1"/>
  <c r="I94" i="8"/>
  <c r="J94" i="8"/>
  <c r="K94" i="8"/>
  <c r="P94" i="8" s="1"/>
  <c r="O94" i="8"/>
  <c r="G95" i="8"/>
  <c r="L95" i="8" s="1"/>
  <c r="H95" i="8"/>
  <c r="I95" i="8"/>
  <c r="N95" i="8" s="1"/>
  <c r="J95" i="8"/>
  <c r="O95" i="8" s="1"/>
  <c r="K95" i="8"/>
  <c r="P95" i="8" s="1"/>
  <c r="G96" i="8"/>
  <c r="L96" i="8" s="1"/>
  <c r="H96" i="8"/>
  <c r="M96" i="8" s="1"/>
  <c r="I96" i="8"/>
  <c r="J96" i="8"/>
  <c r="O96" i="8" s="1"/>
  <c r="K96" i="8"/>
  <c r="P96" i="8" s="1"/>
  <c r="Z96" i="8"/>
  <c r="G97" i="8"/>
  <c r="H97" i="8"/>
  <c r="M97" i="8" s="1"/>
  <c r="I97" i="8"/>
  <c r="T97" i="8" s="1"/>
  <c r="J97" i="8"/>
  <c r="K97" i="8"/>
  <c r="P97" i="8" s="1"/>
  <c r="G98" i="8"/>
  <c r="R98" i="8" s="1"/>
  <c r="H98" i="8"/>
  <c r="I98" i="8"/>
  <c r="J98" i="8"/>
  <c r="O98" i="8" s="1"/>
  <c r="K98" i="8"/>
  <c r="P98" i="8" s="1"/>
  <c r="G99" i="8"/>
  <c r="L99" i="8" s="1"/>
  <c r="H99" i="8"/>
  <c r="M99" i="8" s="1"/>
  <c r="I99" i="8"/>
  <c r="N99" i="8" s="1"/>
  <c r="J99" i="8"/>
  <c r="S99" i="8" s="1"/>
  <c r="K99" i="8"/>
  <c r="P99" i="8" s="1"/>
  <c r="G100" i="8"/>
  <c r="H100" i="8"/>
  <c r="X100" i="8" s="1"/>
  <c r="I100" i="8"/>
  <c r="J100" i="8"/>
  <c r="K100" i="8"/>
  <c r="P100" i="8" s="1"/>
  <c r="G101" i="8"/>
  <c r="L101" i="8" s="1"/>
  <c r="H101" i="8"/>
  <c r="I101" i="8"/>
  <c r="J101" i="8"/>
  <c r="O101" i="8" s="1"/>
  <c r="K101" i="8"/>
  <c r="P101" i="8" s="1"/>
  <c r="G102" i="8"/>
  <c r="H102" i="8"/>
  <c r="M102" i="8" s="1"/>
  <c r="I102" i="8"/>
  <c r="N102" i="8" s="1"/>
  <c r="J102" i="8"/>
  <c r="K102" i="8"/>
  <c r="P102" i="8" s="1"/>
  <c r="G103" i="8"/>
  <c r="H103" i="8"/>
  <c r="I103" i="8"/>
  <c r="J103" i="8"/>
  <c r="K103" i="8"/>
  <c r="G104" i="8"/>
  <c r="L104" i="8" s="1"/>
  <c r="H104" i="8"/>
  <c r="I104" i="8"/>
  <c r="N104" i="8" s="1"/>
  <c r="J104" i="8"/>
  <c r="K104" i="8"/>
  <c r="P104" i="8" s="1"/>
  <c r="G52" i="8"/>
  <c r="R3" i="8"/>
  <c r="K52" i="8"/>
  <c r="P52" i="8" s="1"/>
  <c r="J52" i="8"/>
  <c r="I52" i="8"/>
  <c r="H52" i="8"/>
  <c r="K51" i="8"/>
  <c r="J51" i="8"/>
  <c r="I51" i="8"/>
  <c r="N51" i="8" s="1"/>
  <c r="H51" i="8"/>
  <c r="M51" i="8" s="1"/>
  <c r="G51" i="8"/>
  <c r="K50" i="8"/>
  <c r="P50" i="8" s="1"/>
  <c r="J50" i="8"/>
  <c r="O50" i="8" s="1"/>
  <c r="I50" i="8"/>
  <c r="H50" i="8"/>
  <c r="G50" i="8"/>
  <c r="K49" i="8"/>
  <c r="P49" i="8" s="1"/>
  <c r="J49" i="8"/>
  <c r="I49" i="8"/>
  <c r="H49" i="8"/>
  <c r="G49" i="8"/>
  <c r="K48" i="8"/>
  <c r="J48" i="8"/>
  <c r="I48" i="8"/>
  <c r="H48" i="8"/>
  <c r="M48" i="8" s="1"/>
  <c r="G48" i="8"/>
  <c r="K47" i="8"/>
  <c r="P47" i="8" s="1"/>
  <c r="J47" i="8"/>
  <c r="O47" i="8" s="1"/>
  <c r="I47" i="8"/>
  <c r="H47" i="8"/>
  <c r="G47" i="8"/>
  <c r="L47" i="8" s="1"/>
  <c r="K46" i="8"/>
  <c r="J46" i="8"/>
  <c r="I46" i="8"/>
  <c r="H46" i="8"/>
  <c r="G46" i="8"/>
  <c r="L46" i="8" s="1"/>
  <c r="K45" i="8"/>
  <c r="P45" i="8" s="1"/>
  <c r="J45" i="8"/>
  <c r="O45" i="8" s="1"/>
  <c r="I45" i="8"/>
  <c r="H45" i="8"/>
  <c r="G45" i="8"/>
  <c r="L45" i="8" s="1"/>
  <c r="K44" i="8"/>
  <c r="P44" i="8" s="1"/>
  <c r="J44" i="8"/>
  <c r="I44" i="8"/>
  <c r="H44" i="8"/>
  <c r="M44" i="8" s="1"/>
  <c r="G44" i="8"/>
  <c r="L44" i="8" s="1"/>
  <c r="K43" i="8"/>
  <c r="J43" i="8"/>
  <c r="I43" i="8"/>
  <c r="H43" i="8"/>
  <c r="G43" i="8"/>
  <c r="L43" i="8" s="1"/>
  <c r="K42" i="8"/>
  <c r="P42" i="8" s="1"/>
  <c r="J42" i="8"/>
  <c r="O42" i="8" s="1"/>
  <c r="I42" i="8"/>
  <c r="V42" i="8" s="1"/>
  <c r="H42" i="8"/>
  <c r="G42" i="8"/>
  <c r="L42" i="8" s="1"/>
  <c r="K41" i="8"/>
  <c r="P41" i="8" s="1"/>
  <c r="J41" i="8"/>
  <c r="Z41" i="8" s="1"/>
  <c r="I41" i="8"/>
  <c r="H41" i="8"/>
  <c r="G41" i="8"/>
  <c r="L41" i="8" s="1"/>
  <c r="K40" i="8"/>
  <c r="P40" i="8" s="1"/>
  <c r="J40" i="8"/>
  <c r="O40" i="8" s="1"/>
  <c r="I40" i="8"/>
  <c r="H40" i="8"/>
  <c r="G40" i="8"/>
  <c r="K39" i="8"/>
  <c r="P39" i="8" s="1"/>
  <c r="J39" i="8"/>
  <c r="O39" i="8" s="1"/>
  <c r="I39" i="8"/>
  <c r="H39" i="8"/>
  <c r="T39" i="8" s="1"/>
  <c r="G39" i="8"/>
  <c r="K38" i="8"/>
  <c r="J38" i="8"/>
  <c r="I38" i="8"/>
  <c r="H38" i="8"/>
  <c r="M38" i="8" s="1"/>
  <c r="G38" i="8"/>
  <c r="L38" i="8" s="1"/>
  <c r="K37" i="8"/>
  <c r="P37" i="8" s="1"/>
  <c r="J37" i="8"/>
  <c r="O37" i="8" s="1"/>
  <c r="I37" i="8"/>
  <c r="H37" i="8"/>
  <c r="G37" i="8"/>
  <c r="K36" i="8"/>
  <c r="P36" i="8" s="1"/>
  <c r="J36" i="8"/>
  <c r="O36" i="8" s="1"/>
  <c r="I36" i="8"/>
  <c r="N36" i="8" s="1"/>
  <c r="H36" i="8"/>
  <c r="G36" i="8"/>
  <c r="K35" i="8"/>
  <c r="J35" i="8"/>
  <c r="I35" i="8"/>
  <c r="N35" i="8" s="1"/>
  <c r="H35" i="8"/>
  <c r="M35" i="8" s="1"/>
  <c r="G35" i="8"/>
  <c r="K34" i="8"/>
  <c r="J34" i="8"/>
  <c r="I34" i="8"/>
  <c r="N34" i="8" s="1"/>
  <c r="H34" i="8"/>
  <c r="G34" i="8"/>
  <c r="K33" i="8"/>
  <c r="P33" i="8" s="1"/>
  <c r="J33" i="8"/>
  <c r="I33" i="8"/>
  <c r="V33" i="8" s="1"/>
  <c r="H33" i="8"/>
  <c r="M33" i="8" s="1"/>
  <c r="G33" i="8"/>
  <c r="Q33" i="8" s="1"/>
  <c r="K32" i="8"/>
  <c r="P32" i="8" s="1"/>
  <c r="J32" i="8"/>
  <c r="I32" i="8"/>
  <c r="H32" i="8"/>
  <c r="M32" i="8" s="1"/>
  <c r="G32" i="8"/>
  <c r="K31" i="8"/>
  <c r="P31" i="8" s="1"/>
  <c r="J31" i="8"/>
  <c r="I31" i="8"/>
  <c r="N31" i="8" s="1"/>
  <c r="H31" i="8"/>
  <c r="G31" i="8"/>
  <c r="K30" i="8"/>
  <c r="P30" i="8" s="1"/>
  <c r="J30" i="8"/>
  <c r="O30" i="8" s="1"/>
  <c r="I30" i="8"/>
  <c r="H30" i="8"/>
  <c r="G30" i="8"/>
  <c r="K29" i="8"/>
  <c r="P29" i="8" s="1"/>
  <c r="J29" i="8"/>
  <c r="O29" i="8" s="1"/>
  <c r="I29" i="8"/>
  <c r="H29" i="8"/>
  <c r="G29" i="8"/>
  <c r="K28" i="8"/>
  <c r="J28" i="8"/>
  <c r="O28" i="8" s="1"/>
  <c r="I28" i="8"/>
  <c r="N28" i="8" s="1"/>
  <c r="H28" i="8"/>
  <c r="G28" i="8"/>
  <c r="L28" i="8" s="1"/>
  <c r="K27" i="8"/>
  <c r="P27" i="8" s="1"/>
  <c r="J27" i="8"/>
  <c r="O27" i="8" s="1"/>
  <c r="I27" i="8"/>
  <c r="H27" i="8"/>
  <c r="G27" i="8"/>
  <c r="L27" i="8" s="1"/>
  <c r="K26" i="8"/>
  <c r="P26" i="8" s="1"/>
  <c r="J26" i="8"/>
  <c r="I26" i="8"/>
  <c r="N26" i="8" s="1"/>
  <c r="H26" i="8"/>
  <c r="M26" i="8" s="1"/>
  <c r="G26" i="8"/>
  <c r="R26" i="8" s="1"/>
  <c r="K25" i="8"/>
  <c r="P25" i="8" s="1"/>
  <c r="J25" i="8"/>
  <c r="I25" i="8"/>
  <c r="N25" i="8" s="1"/>
  <c r="H25" i="8"/>
  <c r="G25" i="8"/>
  <c r="K24" i="8"/>
  <c r="J24" i="8"/>
  <c r="O24" i="8" s="1"/>
  <c r="I24" i="8"/>
  <c r="H24" i="8"/>
  <c r="G24" i="8"/>
  <c r="K23" i="8"/>
  <c r="P23" i="8" s="1"/>
  <c r="J23" i="8"/>
  <c r="I23" i="8"/>
  <c r="H23" i="8"/>
  <c r="M23" i="8" s="1"/>
  <c r="G23" i="8"/>
  <c r="K22" i="8"/>
  <c r="P22" i="8" s="1"/>
  <c r="J22" i="8"/>
  <c r="Z22" i="8" s="1"/>
  <c r="I22" i="8"/>
  <c r="N22" i="8" s="1"/>
  <c r="H22" i="8"/>
  <c r="U22" i="8" s="1"/>
  <c r="G22" i="8"/>
  <c r="K21" i="8"/>
  <c r="P21" i="8" s="1"/>
  <c r="J21" i="8"/>
  <c r="O21" i="8" s="1"/>
  <c r="I21" i="8"/>
  <c r="V21" i="8" s="1"/>
  <c r="H21" i="8"/>
  <c r="T21" i="8" s="1"/>
  <c r="G21" i="8"/>
  <c r="K20" i="8"/>
  <c r="P20" i="8" s="1"/>
  <c r="J20" i="8"/>
  <c r="O20" i="8" s="1"/>
  <c r="I20" i="8"/>
  <c r="N20" i="8" s="1"/>
  <c r="H20" i="8"/>
  <c r="G20" i="8"/>
  <c r="K19" i="8"/>
  <c r="P19" i="8" s="1"/>
  <c r="J19" i="8"/>
  <c r="O19" i="8" s="1"/>
  <c r="I19" i="8"/>
  <c r="N19" i="8" s="1"/>
  <c r="H19" i="8"/>
  <c r="M19" i="8" s="1"/>
  <c r="G19" i="8"/>
  <c r="L19" i="8" s="1"/>
  <c r="K18" i="8"/>
  <c r="J18" i="8"/>
  <c r="I18" i="8"/>
  <c r="H18" i="8"/>
  <c r="M18" i="8" s="1"/>
  <c r="G18" i="8"/>
  <c r="L18" i="8" s="1"/>
  <c r="K17" i="8"/>
  <c r="P17" i="8" s="1"/>
  <c r="J17" i="8"/>
  <c r="Z17" i="8" s="1"/>
  <c r="I17" i="8"/>
  <c r="H17" i="8"/>
  <c r="M17" i="8" s="1"/>
  <c r="G17" i="8"/>
  <c r="K16" i="8"/>
  <c r="P16" i="8" s="1"/>
  <c r="J16" i="8"/>
  <c r="I16" i="8"/>
  <c r="N16" i="8" s="1"/>
  <c r="H16" i="8"/>
  <c r="G16" i="8"/>
  <c r="K15" i="8"/>
  <c r="P15" i="8" s="1"/>
  <c r="J15" i="8"/>
  <c r="O15" i="8" s="1"/>
  <c r="I15" i="8"/>
  <c r="H15" i="8"/>
  <c r="G15" i="8"/>
  <c r="K14" i="8"/>
  <c r="P14" i="8" s="1"/>
  <c r="J14" i="8"/>
  <c r="O14" i="8" s="1"/>
  <c r="I14" i="8"/>
  <c r="H14" i="8"/>
  <c r="M14" i="8" s="1"/>
  <c r="G14" i="8"/>
  <c r="K13" i="8"/>
  <c r="P13" i="8" s="1"/>
  <c r="J13" i="8"/>
  <c r="I13" i="8"/>
  <c r="N13" i="8" s="1"/>
  <c r="H13" i="8"/>
  <c r="G13" i="8"/>
  <c r="K12" i="8"/>
  <c r="J12" i="8"/>
  <c r="Z12" i="8" s="1"/>
  <c r="I12" i="8"/>
  <c r="H12" i="8"/>
  <c r="G12" i="8"/>
  <c r="L12" i="8" s="1"/>
  <c r="K11" i="8"/>
  <c r="P11" i="8" s="1"/>
  <c r="J11" i="8"/>
  <c r="O11" i="8" s="1"/>
  <c r="I11" i="8"/>
  <c r="V11" i="8" s="1"/>
  <c r="H11" i="8"/>
  <c r="M11" i="8" s="1"/>
  <c r="G11" i="8"/>
  <c r="L11" i="8" s="1"/>
  <c r="K10" i="8"/>
  <c r="J10" i="8"/>
  <c r="I10" i="8"/>
  <c r="N10" i="8" s="1"/>
  <c r="H10" i="8"/>
  <c r="M10" i="8" s="1"/>
  <c r="L10" i="8"/>
  <c r="K9" i="8"/>
  <c r="J9" i="8"/>
  <c r="O9" i="8" s="1"/>
  <c r="I9" i="8"/>
  <c r="H9" i="8"/>
  <c r="G9" i="8"/>
  <c r="L9" i="8" s="1"/>
  <c r="K8" i="8"/>
  <c r="P8" i="8" s="1"/>
  <c r="J8" i="8"/>
  <c r="Z8" i="8" s="1"/>
  <c r="I8" i="8"/>
  <c r="H8" i="8"/>
  <c r="M8" i="8" s="1"/>
  <c r="G8" i="8"/>
  <c r="K7" i="8"/>
  <c r="P7" i="8" s="1"/>
  <c r="J7" i="8"/>
  <c r="I7" i="8"/>
  <c r="N7" i="8" s="1"/>
  <c r="H7" i="8"/>
  <c r="G7" i="8"/>
  <c r="K6" i="8"/>
  <c r="P6" i="8" s="1"/>
  <c r="J6" i="8"/>
  <c r="O6" i="8" s="1"/>
  <c r="I6" i="8"/>
  <c r="V6" i="8" s="1"/>
  <c r="H6" i="8"/>
  <c r="M6" i="8" s="1"/>
  <c r="G6" i="8"/>
  <c r="K5" i="8"/>
  <c r="P5" i="8" s="1"/>
  <c r="J5" i="8"/>
  <c r="I5" i="8"/>
  <c r="H5" i="8"/>
  <c r="M5" i="8" s="1"/>
  <c r="K4" i="8"/>
  <c r="P4" i="8" s="1"/>
  <c r="J4" i="8"/>
  <c r="I4" i="8"/>
  <c r="N4" i="8" s="1"/>
  <c r="H4" i="8"/>
  <c r="G4" i="8"/>
  <c r="P3" i="8"/>
  <c r="Z3" i="8"/>
  <c r="T3" i="8"/>
  <c r="M100" i="8" l="1"/>
  <c r="T81" i="8"/>
  <c r="R63" i="8"/>
  <c r="X55" i="8"/>
  <c r="V159" i="8"/>
  <c r="P151" i="8"/>
  <c r="S144" i="8"/>
  <c r="Y110" i="8"/>
  <c r="R77" i="8"/>
  <c r="Y133" i="8"/>
  <c r="W22" i="8"/>
  <c r="U29" i="8"/>
  <c r="Q34" i="8"/>
  <c r="U100" i="8"/>
  <c r="Q63" i="8"/>
  <c r="U55" i="8"/>
  <c r="P163" i="8"/>
  <c r="Z72" i="8"/>
  <c r="X163" i="8"/>
  <c r="Y91" i="8"/>
  <c r="Q55" i="8"/>
  <c r="Z132" i="8"/>
  <c r="Q5" i="8"/>
  <c r="T93" i="8"/>
  <c r="Z69" i="8"/>
  <c r="Y61" i="8"/>
  <c r="R168" i="8"/>
  <c r="X132" i="8"/>
  <c r="T132" i="8"/>
  <c r="Q60" i="8"/>
  <c r="X91" i="8"/>
  <c r="Q87" i="8"/>
  <c r="S32" i="8"/>
  <c r="T100" i="8"/>
  <c r="Q98" i="8"/>
  <c r="T92" i="8"/>
  <c r="R78" i="8"/>
  <c r="Q76" i="8"/>
  <c r="Z110" i="8"/>
  <c r="S170" i="8"/>
  <c r="Z130" i="8"/>
  <c r="Z114" i="8"/>
  <c r="R92" i="8"/>
  <c r="O114" i="8"/>
  <c r="T142" i="8"/>
  <c r="R136" i="8"/>
  <c r="Q95" i="8"/>
  <c r="S94" i="8"/>
  <c r="V61" i="8"/>
  <c r="V86" i="8"/>
  <c r="T62" i="8"/>
  <c r="W165" i="8"/>
  <c r="V71" i="8"/>
  <c r="Z108" i="8"/>
  <c r="Q141" i="8"/>
  <c r="W136" i="8"/>
  <c r="V106" i="8"/>
  <c r="Y101" i="8"/>
  <c r="W144" i="8"/>
  <c r="X138" i="8"/>
  <c r="W128" i="8"/>
  <c r="N125" i="8"/>
  <c r="R157" i="8"/>
  <c r="U95" i="8"/>
  <c r="Q114" i="8"/>
  <c r="R172" i="8"/>
  <c r="V112" i="8"/>
  <c r="Q99" i="8"/>
  <c r="M91" i="8"/>
  <c r="W71" i="8"/>
  <c r="V113" i="8"/>
  <c r="X108" i="8"/>
  <c r="Y164" i="8"/>
  <c r="S139" i="8"/>
  <c r="O99" i="8"/>
  <c r="X75" i="8"/>
  <c r="N113" i="8"/>
  <c r="Z105" i="8"/>
  <c r="O139" i="8"/>
  <c r="M125" i="8"/>
  <c r="S123" i="8"/>
  <c r="Z76" i="8"/>
  <c r="Q111" i="8"/>
  <c r="Y76" i="8"/>
  <c r="V65" i="8"/>
  <c r="Y147" i="8"/>
  <c r="X90" i="8"/>
  <c r="R65" i="8"/>
  <c r="O172" i="8"/>
  <c r="Z172" i="8"/>
  <c r="R134" i="8"/>
  <c r="X64" i="8"/>
  <c r="S147" i="8"/>
  <c r="Y128" i="8"/>
  <c r="S96" i="8"/>
  <c r="Z94" i="8"/>
  <c r="U83" i="8"/>
  <c r="P105" i="8"/>
  <c r="X171" i="8"/>
  <c r="X160" i="8"/>
  <c r="Y146" i="8"/>
  <c r="T129" i="8"/>
  <c r="T59" i="8"/>
  <c r="U5" i="8"/>
  <c r="X67" i="8"/>
  <c r="Z113" i="8"/>
  <c r="V98" i="8"/>
  <c r="Z100" i="8"/>
  <c r="T96" i="8"/>
  <c r="Q89" i="8"/>
  <c r="Y70" i="8"/>
  <c r="N55" i="8"/>
  <c r="V165" i="8"/>
  <c r="R160" i="8"/>
  <c r="R141" i="8"/>
  <c r="Z30" i="8"/>
  <c r="N98" i="8"/>
  <c r="Q90" i="8"/>
  <c r="W90" i="8"/>
  <c r="Q85" i="8"/>
  <c r="Q78" i="8"/>
  <c r="T75" i="8"/>
  <c r="N75" i="8"/>
  <c r="X73" i="8"/>
  <c r="Z70" i="8"/>
  <c r="S111" i="8"/>
  <c r="U172" i="8"/>
  <c r="Q155" i="8"/>
  <c r="Z134" i="8"/>
  <c r="O134" i="8"/>
  <c r="Z131" i="8"/>
  <c r="N116" i="8"/>
  <c r="Z99" i="8"/>
  <c r="Z93" i="8"/>
  <c r="U88" i="8"/>
  <c r="Q84" i="8"/>
  <c r="Z82" i="8"/>
  <c r="O76" i="8"/>
  <c r="U73" i="8"/>
  <c r="T72" i="8"/>
  <c r="Y72" i="8"/>
  <c r="V62" i="8"/>
  <c r="O55" i="8"/>
  <c r="X113" i="8"/>
  <c r="Y111" i="8"/>
  <c r="U169" i="8"/>
  <c r="M169" i="8"/>
  <c r="V162" i="8"/>
  <c r="W141" i="8"/>
  <c r="U118" i="8"/>
  <c r="T103" i="8"/>
  <c r="N103" i="8"/>
  <c r="X82" i="8"/>
  <c r="T73" i="8"/>
  <c r="U65" i="8"/>
  <c r="R64" i="8"/>
  <c r="X111" i="8"/>
  <c r="Z163" i="8"/>
  <c r="U141" i="8"/>
  <c r="O141" i="8"/>
  <c r="X118" i="8"/>
  <c r="P118" i="8"/>
  <c r="W116" i="8"/>
  <c r="P116" i="8"/>
  <c r="W72" i="8"/>
  <c r="V66" i="8"/>
  <c r="O66" i="8"/>
  <c r="V131" i="8"/>
  <c r="V77" i="8"/>
  <c r="M70" i="8"/>
  <c r="X70" i="8"/>
  <c r="V53" i="8"/>
  <c r="Z111" i="8"/>
  <c r="W108" i="8"/>
  <c r="S151" i="8"/>
  <c r="X133" i="8"/>
  <c r="V127" i="8"/>
  <c r="U116" i="8"/>
  <c r="L98" i="8"/>
  <c r="S98" i="8"/>
  <c r="U77" i="8"/>
  <c r="T77" i="8"/>
  <c r="T74" i="8"/>
  <c r="Q57" i="8"/>
  <c r="L114" i="8"/>
  <c r="W111" i="8"/>
  <c r="Q108" i="8"/>
  <c r="M107" i="8"/>
  <c r="X107" i="8"/>
  <c r="U165" i="8"/>
  <c r="Z145" i="8"/>
  <c r="Q140" i="8"/>
  <c r="U133" i="8"/>
  <c r="T121" i="8"/>
  <c r="N121" i="8"/>
  <c r="Q119" i="8"/>
  <c r="Q116" i="8"/>
  <c r="Q19" i="8"/>
  <c r="Q73" i="8"/>
  <c r="R73" i="8"/>
  <c r="Q171" i="8"/>
  <c r="M90" i="8"/>
  <c r="L87" i="8"/>
  <c r="V72" i="8"/>
  <c r="Q66" i="8"/>
  <c r="R111" i="8"/>
  <c r="L155" i="8"/>
  <c r="Y145" i="8"/>
  <c r="Q91" i="8"/>
  <c r="S71" i="8"/>
  <c r="W43" i="8"/>
  <c r="W104" i="8"/>
  <c r="X97" i="8"/>
  <c r="R71" i="8"/>
  <c r="L90" i="8"/>
  <c r="T133" i="8"/>
  <c r="T9" i="8"/>
  <c r="T30" i="8"/>
  <c r="T102" i="8"/>
  <c r="N97" i="8"/>
  <c r="P91" i="8"/>
  <c r="V88" i="8"/>
  <c r="S87" i="8"/>
  <c r="Y81" i="8"/>
  <c r="Y75" i="8"/>
  <c r="P73" i="8"/>
  <c r="O72" i="8"/>
  <c r="Z60" i="8"/>
  <c r="O111" i="8"/>
  <c r="N110" i="8"/>
  <c r="V110" i="8"/>
  <c r="O108" i="8"/>
  <c r="V105" i="8"/>
  <c r="R170" i="8"/>
  <c r="W170" i="8"/>
  <c r="N164" i="8"/>
  <c r="X151" i="8"/>
  <c r="X145" i="8"/>
  <c r="T134" i="8"/>
  <c r="N128" i="8"/>
  <c r="X126" i="8"/>
  <c r="O116" i="8"/>
  <c r="Z116" i="8"/>
  <c r="T70" i="8"/>
  <c r="N70" i="8"/>
  <c r="R82" i="8"/>
  <c r="N82" i="8"/>
  <c r="O107" i="8"/>
  <c r="Z107" i="8"/>
  <c r="Q64" i="8"/>
  <c r="Q82" i="8"/>
  <c r="L78" i="8"/>
  <c r="R76" i="8"/>
  <c r="S76" i="8"/>
  <c r="R72" i="8"/>
  <c r="M67" i="8"/>
  <c r="W53" i="8"/>
  <c r="S35" i="8"/>
  <c r="S90" i="8"/>
  <c r="O88" i="8"/>
  <c r="N81" i="8"/>
  <c r="M75" i="8"/>
  <c r="O73" i="8"/>
  <c r="N72" i="8"/>
  <c r="U67" i="8"/>
  <c r="T65" i="8"/>
  <c r="Q54" i="8"/>
  <c r="N111" i="8"/>
  <c r="M159" i="8"/>
  <c r="T159" i="8"/>
  <c r="N157" i="8"/>
  <c r="V157" i="8"/>
  <c r="W151" i="8"/>
  <c r="U150" i="8"/>
  <c r="X148" i="8"/>
  <c r="N146" i="8"/>
  <c r="W145" i="8"/>
  <c r="L136" i="8"/>
  <c r="T126" i="8"/>
  <c r="X120" i="8"/>
  <c r="V37" i="8"/>
  <c r="T42" i="8"/>
  <c r="V49" i="8"/>
  <c r="X51" i="8"/>
  <c r="U104" i="8"/>
  <c r="U97" i="8"/>
  <c r="R94" i="8"/>
  <c r="T90" i="8"/>
  <c r="U87" i="8"/>
  <c r="T85" i="8"/>
  <c r="Y83" i="8"/>
  <c r="T78" i="8"/>
  <c r="X76" i="8"/>
  <c r="N73" i="8"/>
  <c r="S65" i="8"/>
  <c r="L111" i="8"/>
  <c r="W105" i="8"/>
  <c r="Z164" i="8"/>
  <c r="O162" i="8"/>
  <c r="R151" i="8"/>
  <c r="T150" i="8"/>
  <c r="X144" i="8"/>
  <c r="S141" i="8"/>
  <c r="T120" i="8"/>
  <c r="Q117" i="8"/>
  <c r="U127" i="8"/>
  <c r="U86" i="8"/>
  <c r="Y64" i="8"/>
  <c r="S114" i="8"/>
  <c r="Q168" i="8"/>
  <c r="R140" i="8"/>
  <c r="Y125" i="8"/>
  <c r="S120" i="8"/>
  <c r="Q6" i="8"/>
  <c r="U31" i="8"/>
  <c r="Z33" i="8"/>
  <c r="T45" i="8"/>
  <c r="S100" i="8"/>
  <c r="Q96" i="8"/>
  <c r="V64" i="8"/>
  <c r="R114" i="8"/>
  <c r="X169" i="8"/>
  <c r="R166" i="8"/>
  <c r="R163" i="8"/>
  <c r="U154" i="8"/>
  <c r="V149" i="8"/>
  <c r="W127" i="8"/>
  <c r="V125" i="8"/>
  <c r="R84" i="8"/>
  <c r="R66" i="8"/>
  <c r="V101" i="8"/>
  <c r="T154" i="8"/>
  <c r="N143" i="8"/>
  <c r="Y130" i="8"/>
  <c r="V124" i="8"/>
  <c r="Y108" i="8"/>
  <c r="R119" i="8"/>
  <c r="R97" i="8"/>
  <c r="T101" i="8"/>
  <c r="N66" i="8"/>
  <c r="T56" i="8"/>
  <c r="T53" i="8"/>
  <c r="N114" i="8"/>
  <c r="V107" i="8"/>
  <c r="V158" i="8"/>
  <c r="V145" i="8"/>
  <c r="V130" i="8"/>
  <c r="T124" i="8"/>
  <c r="Y94" i="8"/>
  <c r="T122" i="8"/>
  <c r="V7" i="8"/>
  <c r="V94" i="8"/>
  <c r="T143" i="8"/>
  <c r="T80" i="8"/>
  <c r="V108" i="8"/>
  <c r="V100" i="8"/>
  <c r="T95" i="8"/>
  <c r="Y107" i="8"/>
  <c r="R95" i="8"/>
  <c r="N100" i="8"/>
  <c r="R91" i="8"/>
  <c r="V31" i="8"/>
  <c r="N101" i="8"/>
  <c r="N94" i="8"/>
  <c r="Y82" i="8"/>
  <c r="V78" i="8"/>
  <c r="T71" i="8"/>
  <c r="Y69" i="8"/>
  <c r="R67" i="8"/>
  <c r="R56" i="8"/>
  <c r="N54" i="8"/>
  <c r="T172" i="8"/>
  <c r="R158" i="8"/>
  <c r="T145" i="8"/>
  <c r="V140" i="8"/>
  <c r="R130" i="8"/>
  <c r="V119" i="8"/>
  <c r="Y116" i="8"/>
  <c r="T118" i="8"/>
  <c r="R108" i="8"/>
  <c r="T20" i="8"/>
  <c r="T27" i="8"/>
  <c r="T36" i="8"/>
  <c r="Y97" i="8"/>
  <c r="N96" i="8"/>
  <c r="R61" i="8"/>
  <c r="N57" i="8"/>
  <c r="V153" i="8"/>
  <c r="R138" i="8"/>
  <c r="Y124" i="8"/>
  <c r="Y100" i="8"/>
  <c r="R137" i="8"/>
  <c r="R19" i="8"/>
  <c r="Y114" i="8"/>
  <c r="V151" i="8"/>
  <c r="V118" i="8"/>
  <c r="T5" i="8"/>
  <c r="Q75" i="8"/>
  <c r="R75" i="8"/>
  <c r="L75" i="8"/>
  <c r="L40" i="8"/>
  <c r="Q40" i="8"/>
  <c r="X130" i="8"/>
  <c r="U130" i="8"/>
  <c r="R40" i="8"/>
  <c r="Z13" i="8"/>
  <c r="V29" i="8"/>
  <c r="L36" i="8"/>
  <c r="R36" i="8"/>
  <c r="U103" i="8"/>
  <c r="V103" i="8"/>
  <c r="Z103" i="8"/>
  <c r="P87" i="8"/>
  <c r="W87" i="8"/>
  <c r="W81" i="8"/>
  <c r="L81" i="8"/>
  <c r="Q81" i="8"/>
  <c r="R81" i="8"/>
  <c r="L72" i="8"/>
  <c r="Q72" i="8"/>
  <c r="P57" i="8"/>
  <c r="Y57" i="8"/>
  <c r="W57" i="8"/>
  <c r="P54" i="8"/>
  <c r="Y54" i="8"/>
  <c r="Z115" i="8"/>
  <c r="W149" i="8"/>
  <c r="Y149" i="8"/>
  <c r="L146" i="8"/>
  <c r="W146" i="8"/>
  <c r="P136" i="8"/>
  <c r="Y136" i="8"/>
  <c r="U131" i="8"/>
  <c r="T131" i="8"/>
  <c r="O122" i="8"/>
  <c r="V122" i="8"/>
  <c r="P85" i="8"/>
  <c r="Y85" i="8"/>
  <c r="X85" i="8"/>
  <c r="W75" i="8"/>
  <c r="O57" i="8"/>
  <c r="V57" i="8"/>
  <c r="U168" i="8"/>
  <c r="Z168" i="8"/>
  <c r="L164" i="8"/>
  <c r="Q164" i="8"/>
  <c r="R164" i="8"/>
  <c r="Q159" i="8"/>
  <c r="W159" i="8"/>
  <c r="O147" i="8"/>
  <c r="Z147" i="8"/>
  <c r="Z138" i="8"/>
  <c r="U138" i="8"/>
  <c r="V138" i="8"/>
  <c r="Z136" i="8"/>
  <c r="V136" i="8"/>
  <c r="R131" i="8"/>
  <c r="L131" i="8"/>
  <c r="Q131" i="8"/>
  <c r="S131" i="8"/>
  <c r="L86" i="8"/>
  <c r="Q86" i="8"/>
  <c r="R86" i="8"/>
  <c r="R110" i="8"/>
  <c r="L110" i="8"/>
  <c r="Q110" i="8"/>
  <c r="X105" i="8"/>
  <c r="M105" i="8"/>
  <c r="L167" i="8"/>
  <c r="Q167" i="8"/>
  <c r="R167" i="8"/>
  <c r="P103" i="8"/>
  <c r="Y103" i="8"/>
  <c r="M103" i="8"/>
  <c r="X103" i="8"/>
  <c r="Q94" i="8"/>
  <c r="U85" i="8"/>
  <c r="O85" i="8"/>
  <c r="V85" i="8"/>
  <c r="Q113" i="8"/>
  <c r="L113" i="8"/>
  <c r="R113" i="8"/>
  <c r="X110" i="8"/>
  <c r="T107" i="8"/>
  <c r="O160" i="8"/>
  <c r="V160" i="8"/>
  <c r="Z160" i="8"/>
  <c r="Q152" i="8"/>
  <c r="L152" i="8"/>
  <c r="R152" i="8"/>
  <c r="X128" i="8"/>
  <c r="T128" i="8"/>
  <c r="M128" i="8"/>
  <c r="P123" i="8"/>
  <c r="X123" i="8"/>
  <c r="Q102" i="8"/>
  <c r="R102" i="8"/>
  <c r="X94" i="8"/>
  <c r="L105" i="8"/>
  <c r="Q105" i="8"/>
  <c r="W7" i="8"/>
  <c r="Q7" i="8"/>
  <c r="U18" i="8"/>
  <c r="L69" i="8"/>
  <c r="Q69" i="8"/>
  <c r="R105" i="8"/>
  <c r="P155" i="8"/>
  <c r="Y155" i="8"/>
  <c r="L128" i="8"/>
  <c r="Q128" i="8"/>
  <c r="R128" i="8"/>
  <c r="S84" i="8"/>
  <c r="V84" i="8"/>
  <c r="Z84" i="8"/>
  <c r="S81" i="8"/>
  <c r="V81" i="8"/>
  <c r="P154" i="8"/>
  <c r="Y154" i="8"/>
  <c r="L107" i="8"/>
  <c r="Q107" i="8"/>
  <c r="R107" i="8"/>
  <c r="W107" i="8"/>
  <c r="L102" i="8"/>
  <c r="W164" i="8"/>
  <c r="X131" i="8"/>
  <c r="S161" i="8"/>
  <c r="V161" i="8"/>
  <c r="Q58" i="8"/>
  <c r="M156" i="8"/>
  <c r="T156" i="8"/>
  <c r="U156" i="8"/>
  <c r="S89" i="8"/>
  <c r="O155" i="8"/>
  <c r="Z155" i="8"/>
  <c r="W133" i="8"/>
  <c r="L133" i="8"/>
  <c r="R133" i="8"/>
  <c r="S37" i="8"/>
  <c r="Y39" i="8"/>
  <c r="O104" i="8"/>
  <c r="V104" i="8"/>
  <c r="Z104" i="8"/>
  <c r="U98" i="8"/>
  <c r="X81" i="8"/>
  <c r="U58" i="8"/>
  <c r="Z58" i="8"/>
  <c r="O58" i="8"/>
  <c r="S56" i="8"/>
  <c r="V56" i="8"/>
  <c r="W113" i="8"/>
  <c r="S164" i="8"/>
  <c r="M153" i="8"/>
  <c r="T153" i="8"/>
  <c r="P137" i="8"/>
  <c r="Y137" i="8"/>
  <c r="W131" i="8"/>
  <c r="W123" i="8"/>
  <c r="P88" i="8"/>
  <c r="Y88" i="8"/>
  <c r="U51" i="8"/>
  <c r="S102" i="8"/>
  <c r="O102" i="8"/>
  <c r="T98" i="8"/>
  <c r="X88" i="8"/>
  <c r="R70" i="8"/>
  <c r="S70" i="8"/>
  <c r="Q70" i="8"/>
  <c r="T58" i="8"/>
  <c r="O148" i="8"/>
  <c r="V148" i="8"/>
  <c r="V137" i="8"/>
  <c r="O137" i="8"/>
  <c r="Q134" i="8"/>
  <c r="L134" i="8"/>
  <c r="V89" i="8"/>
  <c r="V45" i="8"/>
  <c r="U101" i="8"/>
  <c r="T88" i="8"/>
  <c r="T87" i="8"/>
  <c r="T79" i="8"/>
  <c r="T67" i="8"/>
  <c r="X57" i="8"/>
  <c r="Z55" i="8"/>
  <c r="T55" i="8"/>
  <c r="W115" i="8"/>
  <c r="Y112" i="8"/>
  <c r="M111" i="8"/>
  <c r="Y109" i="8"/>
  <c r="M108" i="8"/>
  <c r="V166" i="8"/>
  <c r="U162" i="8"/>
  <c r="Y150" i="8"/>
  <c r="U149" i="8"/>
  <c r="V139" i="8"/>
  <c r="M127" i="8"/>
  <c r="Q83" i="8"/>
  <c r="Z73" i="8"/>
  <c r="W56" i="8"/>
  <c r="Y55" i="8"/>
  <c r="Z106" i="8"/>
  <c r="W160" i="8"/>
  <c r="X157" i="8"/>
  <c r="W155" i="8"/>
  <c r="Z154" i="8"/>
  <c r="Z144" i="8"/>
  <c r="X136" i="8"/>
  <c r="V135" i="8"/>
  <c r="W129" i="8"/>
  <c r="X124" i="8"/>
  <c r="X12" i="8"/>
  <c r="S15" i="8"/>
  <c r="V30" i="8"/>
  <c r="Y32" i="8"/>
  <c r="U91" i="8"/>
  <c r="Z88" i="8"/>
  <c r="Q88" i="8"/>
  <c r="S85" i="8"/>
  <c r="Y73" i="8"/>
  <c r="Z67" i="8"/>
  <c r="T64" i="8"/>
  <c r="X61" i="8"/>
  <c r="R60" i="8"/>
  <c r="V55" i="8"/>
  <c r="T114" i="8"/>
  <c r="W112" i="8"/>
  <c r="W109" i="8"/>
  <c r="Y106" i="8"/>
  <c r="Q169" i="8"/>
  <c r="Y163" i="8"/>
  <c r="S155" i="8"/>
  <c r="W147" i="8"/>
  <c r="M145" i="8"/>
  <c r="Y144" i="8"/>
  <c r="Z141" i="8"/>
  <c r="W137" i="8"/>
  <c r="Z129" i="8"/>
  <c r="X122" i="8"/>
  <c r="O120" i="8"/>
  <c r="Z119" i="8"/>
  <c r="V74" i="8"/>
  <c r="Y115" i="8"/>
  <c r="Q103" i="8"/>
  <c r="Z4" i="8"/>
  <c r="U15" i="8"/>
  <c r="W21" i="8"/>
  <c r="Z32" i="8"/>
  <c r="X41" i="8"/>
  <c r="V48" i="8"/>
  <c r="Q52" i="8"/>
  <c r="U94" i="8"/>
  <c r="Z91" i="8"/>
  <c r="T91" i="8"/>
  <c r="Z87" i="8"/>
  <c r="R85" i="8"/>
  <c r="Y78" i="8"/>
  <c r="U76" i="8"/>
  <c r="Y67" i="8"/>
  <c r="Y66" i="8"/>
  <c r="Z64" i="8"/>
  <c r="U56" i="8"/>
  <c r="S55" i="8"/>
  <c r="Z54" i="8"/>
  <c r="W114" i="8"/>
  <c r="X114" i="8"/>
  <c r="S108" i="8"/>
  <c r="X106" i="8"/>
  <c r="V172" i="8"/>
  <c r="Z170" i="8"/>
  <c r="U170" i="8"/>
  <c r="T161" i="8"/>
  <c r="R155" i="8"/>
  <c r="X154" i="8"/>
  <c r="U148" i="8"/>
  <c r="X141" i="8"/>
  <c r="Z139" i="8"/>
  <c r="W134" i="8"/>
  <c r="Z124" i="8"/>
  <c r="V116" i="8"/>
  <c r="V8" i="8"/>
  <c r="V15" i="8"/>
  <c r="Z23" i="8"/>
  <c r="V41" i="8"/>
  <c r="Q51" i="8"/>
  <c r="T99" i="8"/>
  <c r="T94" i="8"/>
  <c r="X87" i="8"/>
  <c r="Y79" i="8"/>
  <c r="W77" i="8"/>
  <c r="T76" i="8"/>
  <c r="S73" i="8"/>
  <c r="W65" i="8"/>
  <c r="T61" i="8"/>
  <c r="V114" i="8"/>
  <c r="T111" i="8"/>
  <c r="W110" i="8"/>
  <c r="T108" i="8"/>
  <c r="W106" i="8"/>
  <c r="Y170" i="8"/>
  <c r="T168" i="8"/>
  <c r="R161" i="8"/>
  <c r="S152" i="8"/>
  <c r="X149" i="8"/>
  <c r="T148" i="8"/>
  <c r="Z140" i="8"/>
  <c r="U136" i="8"/>
  <c r="T125" i="8"/>
  <c r="S116" i="8"/>
  <c r="U82" i="8"/>
  <c r="X79" i="8"/>
  <c r="Y63" i="8"/>
  <c r="S105" i="8"/>
  <c r="Z169" i="8"/>
  <c r="W167" i="8"/>
  <c r="Z157" i="8"/>
  <c r="W153" i="8"/>
  <c r="V142" i="8"/>
  <c r="S128" i="8"/>
  <c r="U37" i="8"/>
  <c r="S95" i="8"/>
  <c r="S92" i="8"/>
  <c r="V91" i="8"/>
  <c r="Y90" i="8"/>
  <c r="R89" i="8"/>
  <c r="T82" i="8"/>
  <c r="V76" i="8"/>
  <c r="X72" i="8"/>
  <c r="U70" i="8"/>
  <c r="R69" i="8"/>
  <c r="X58" i="8"/>
  <c r="P55" i="8"/>
  <c r="Y113" i="8"/>
  <c r="V111" i="8"/>
  <c r="T110" i="8"/>
  <c r="T105" i="8"/>
  <c r="U171" i="8"/>
  <c r="V170" i="8"/>
  <c r="Y157" i="8"/>
  <c r="O154" i="8"/>
  <c r="U142" i="8"/>
  <c r="L137" i="8"/>
  <c r="Z128" i="8"/>
  <c r="U124" i="8"/>
  <c r="U121" i="8"/>
  <c r="R116" i="8"/>
  <c r="Y118" i="8"/>
  <c r="M124" i="8"/>
  <c r="W120" i="8"/>
  <c r="S119" i="8"/>
  <c r="V68" i="8"/>
  <c r="Z112" i="8"/>
  <c r="Z109" i="8"/>
  <c r="W122" i="8"/>
  <c r="R120" i="8"/>
  <c r="O118" i="8"/>
  <c r="M116" i="8"/>
  <c r="P167" i="8"/>
  <c r="P158" i="8"/>
  <c r="Z153" i="8"/>
  <c r="O153" i="8"/>
  <c r="U137" i="8"/>
  <c r="X137" i="8"/>
  <c r="R132" i="8"/>
  <c r="S132" i="8"/>
  <c r="L126" i="8"/>
  <c r="R126" i="8"/>
  <c r="S126" i="8"/>
  <c r="T171" i="8"/>
  <c r="S169" i="8"/>
  <c r="X168" i="8"/>
  <c r="Y168" i="8"/>
  <c r="N168" i="8"/>
  <c r="U166" i="8"/>
  <c r="Q166" i="8"/>
  <c r="W166" i="8"/>
  <c r="T163" i="8"/>
  <c r="O161" i="8"/>
  <c r="U160" i="8"/>
  <c r="Q160" i="8"/>
  <c r="U157" i="8"/>
  <c r="Q157" i="8"/>
  <c r="W157" i="8"/>
  <c r="Q154" i="8"/>
  <c r="S154" i="8"/>
  <c r="W154" i="8"/>
  <c r="Y153" i="8"/>
  <c r="N153" i="8"/>
  <c r="U151" i="8"/>
  <c r="X150" i="8"/>
  <c r="M149" i="8"/>
  <c r="P148" i="8"/>
  <c r="V147" i="8"/>
  <c r="M147" i="8"/>
  <c r="X147" i="8"/>
  <c r="R145" i="8"/>
  <c r="L144" i="8"/>
  <c r="Q144" i="8"/>
  <c r="S142" i="8"/>
  <c r="Y140" i="8"/>
  <c r="N139" i="8"/>
  <c r="Z135" i="8"/>
  <c r="W132" i="8"/>
  <c r="S129" i="8"/>
  <c r="V128" i="8"/>
  <c r="Z125" i="8"/>
  <c r="Y123" i="8"/>
  <c r="N123" i="8"/>
  <c r="V123" i="8"/>
  <c r="L122" i="8"/>
  <c r="P121" i="8"/>
  <c r="W121" i="8"/>
  <c r="N172" i="8"/>
  <c r="S171" i="8"/>
  <c r="R169" i="8"/>
  <c r="W168" i="8"/>
  <c r="T166" i="8"/>
  <c r="Z165" i="8"/>
  <c r="O164" i="8"/>
  <c r="V163" i="8"/>
  <c r="Q163" i="8"/>
  <c r="S163" i="8"/>
  <c r="T160" i="8"/>
  <c r="Z159" i="8"/>
  <c r="Y159" i="8"/>
  <c r="T157" i="8"/>
  <c r="Z156" i="8"/>
  <c r="X153" i="8"/>
  <c r="T151" i="8"/>
  <c r="W150" i="8"/>
  <c r="R150" i="8"/>
  <c r="S150" i="8"/>
  <c r="U147" i="8"/>
  <c r="Q147" i="8"/>
  <c r="V144" i="8"/>
  <c r="Z143" i="8"/>
  <c r="S143" i="8"/>
  <c r="V143" i="8"/>
  <c r="R142" i="8"/>
  <c r="X140" i="8"/>
  <c r="U140" i="8"/>
  <c r="T140" i="8"/>
  <c r="M140" i="8"/>
  <c r="S138" i="8"/>
  <c r="T137" i="8"/>
  <c r="Y135" i="8"/>
  <c r="N135" i="8"/>
  <c r="M130" i="8"/>
  <c r="P129" i="8"/>
  <c r="Z127" i="8"/>
  <c r="M123" i="8"/>
  <c r="Q123" i="8"/>
  <c r="T123" i="8"/>
  <c r="U123" i="8"/>
  <c r="Z122" i="8"/>
  <c r="P122" i="8"/>
  <c r="O121" i="8"/>
  <c r="S121" i="8"/>
  <c r="R171" i="8"/>
  <c r="X170" i="8"/>
  <c r="P169" i="8"/>
  <c r="V168" i="8"/>
  <c r="S166" i="8"/>
  <c r="X165" i="8"/>
  <c r="Y165" i="8"/>
  <c r="U163" i="8"/>
  <c r="W162" i="8"/>
  <c r="Y162" i="8"/>
  <c r="S160" i="8"/>
  <c r="X159" i="8"/>
  <c r="S157" i="8"/>
  <c r="X156" i="8"/>
  <c r="R154" i="8"/>
  <c r="V150" i="8"/>
  <c r="O149" i="8"/>
  <c r="Z149" i="8"/>
  <c r="T147" i="8"/>
  <c r="Z146" i="8"/>
  <c r="U144" i="8"/>
  <c r="Y143" i="8"/>
  <c r="W140" i="8"/>
  <c r="Q137" i="8"/>
  <c r="T136" i="8"/>
  <c r="S133" i="8"/>
  <c r="Q132" i="8"/>
  <c r="O129" i="8"/>
  <c r="X127" i="8"/>
  <c r="W126" i="8"/>
  <c r="M162" i="8"/>
  <c r="X162" i="8"/>
  <c r="Q156" i="8"/>
  <c r="W156" i="8"/>
  <c r="M117" i="8"/>
  <c r="T117" i="8"/>
  <c r="Y167" i="8"/>
  <c r="Z158" i="8"/>
  <c r="Y152" i="8"/>
  <c r="Y139" i="8"/>
  <c r="X135" i="8"/>
  <c r="Y172" i="8"/>
  <c r="T170" i="8"/>
  <c r="L169" i="8"/>
  <c r="X167" i="8"/>
  <c r="T162" i="8"/>
  <c r="S156" i="8"/>
  <c r="X152" i="8"/>
  <c r="V146" i="8"/>
  <c r="U146" i="8"/>
  <c r="X146" i="8"/>
  <c r="L145" i="8"/>
  <c r="R144" i="8"/>
  <c r="Z142" i="8"/>
  <c r="X139" i="8"/>
  <c r="Y134" i="8"/>
  <c r="S168" i="8"/>
  <c r="S140" i="8"/>
  <c r="M157" i="8"/>
  <c r="P119" i="8"/>
  <c r="Y119" i="8"/>
  <c r="Q165" i="8"/>
  <c r="U153" i="8"/>
  <c r="Z167" i="8"/>
  <c r="M165" i="8"/>
  <c r="T165" i="8"/>
  <c r="Z152" i="8"/>
  <c r="L135" i="8"/>
  <c r="W135" i="8"/>
  <c r="Q135" i="8"/>
  <c r="R135" i="8"/>
  <c r="Q124" i="8"/>
  <c r="W124" i="8"/>
  <c r="S124" i="8"/>
  <c r="R147" i="8"/>
  <c r="S134" i="8"/>
  <c r="V134" i="8"/>
  <c r="Q126" i="8"/>
  <c r="L117" i="8"/>
  <c r="R117" i="8"/>
  <c r="S117" i="8"/>
  <c r="Z161" i="8"/>
  <c r="X172" i="8"/>
  <c r="U167" i="8"/>
  <c r="T167" i="8"/>
  <c r="S165" i="8"/>
  <c r="N163" i="8"/>
  <c r="S162" i="8"/>
  <c r="Y161" i="8"/>
  <c r="M160" i="8"/>
  <c r="S159" i="8"/>
  <c r="U158" i="8"/>
  <c r="X158" i="8"/>
  <c r="R156" i="8"/>
  <c r="S153" i="8"/>
  <c r="W152" i="8"/>
  <c r="U152" i="8"/>
  <c r="T152" i="8"/>
  <c r="O150" i="8"/>
  <c r="T149" i="8"/>
  <c r="Z148" i="8"/>
  <c r="T146" i="8"/>
  <c r="Q146" i="8"/>
  <c r="O144" i="8"/>
  <c r="Y142" i="8"/>
  <c r="T139" i="8"/>
  <c r="M137" i="8"/>
  <c r="U135" i="8"/>
  <c r="X134" i="8"/>
  <c r="L132" i="8"/>
  <c r="Y129" i="8"/>
  <c r="N129" i="8"/>
  <c r="V129" i="8"/>
  <c r="Z121" i="8"/>
  <c r="W119" i="8"/>
  <c r="U119" i="8"/>
  <c r="X119" i="8"/>
  <c r="W172" i="8"/>
  <c r="Q170" i="8"/>
  <c r="Y169" i="8"/>
  <c r="V167" i="8"/>
  <c r="L166" i="8"/>
  <c r="R165" i="8"/>
  <c r="V164" i="8"/>
  <c r="U164" i="8"/>
  <c r="X164" i="8"/>
  <c r="M163" i="8"/>
  <c r="R162" i="8"/>
  <c r="X161" i="8"/>
  <c r="U161" i="8"/>
  <c r="Q161" i="8"/>
  <c r="L160" i="8"/>
  <c r="R159" i="8"/>
  <c r="T158" i="8"/>
  <c r="W158" i="8"/>
  <c r="L157" i="8"/>
  <c r="V155" i="8"/>
  <c r="U155" i="8"/>
  <c r="X155" i="8"/>
  <c r="L154" i="8"/>
  <c r="R153" i="8"/>
  <c r="V152" i="8"/>
  <c r="Z151" i="8"/>
  <c r="N150" i="8"/>
  <c r="S149" i="8"/>
  <c r="Y148" i="8"/>
  <c r="N147" i="8"/>
  <c r="S146" i="8"/>
  <c r="N144" i="8"/>
  <c r="P143" i="8"/>
  <c r="X142" i="8"/>
  <c r="Y138" i="8"/>
  <c r="N138" i="8"/>
  <c r="O136" i="8"/>
  <c r="T135" i="8"/>
  <c r="N133" i="8"/>
  <c r="V133" i="8"/>
  <c r="T130" i="8"/>
  <c r="Q130" i="8"/>
  <c r="W130" i="8"/>
  <c r="R124" i="8"/>
  <c r="R123" i="8"/>
  <c r="S122" i="8"/>
  <c r="Y121" i="8"/>
  <c r="Q118" i="8"/>
  <c r="R118" i="8"/>
  <c r="W118" i="8"/>
  <c r="L118" i="8"/>
  <c r="S118" i="8"/>
  <c r="Q172" i="8"/>
  <c r="S172" i="8"/>
  <c r="Z171" i="8"/>
  <c r="N169" i="8"/>
  <c r="V169" i="8"/>
  <c r="O168" i="8"/>
  <c r="S167" i="8"/>
  <c r="T164" i="8"/>
  <c r="L163" i="8"/>
  <c r="Q162" i="8"/>
  <c r="W161" i="8"/>
  <c r="O159" i="8"/>
  <c r="S158" i="8"/>
  <c r="T155" i="8"/>
  <c r="Q153" i="8"/>
  <c r="L150" i="8"/>
  <c r="R149" i="8"/>
  <c r="L147" i="8"/>
  <c r="R146" i="8"/>
  <c r="O143" i="8"/>
  <c r="W142" i="8"/>
  <c r="Q142" i="8"/>
  <c r="Y141" i="8"/>
  <c r="N141" i="8"/>
  <c r="T141" i="8"/>
  <c r="V141" i="8"/>
  <c r="M138" i="8"/>
  <c r="T138" i="8"/>
  <c r="N136" i="8"/>
  <c r="S135" i="8"/>
  <c r="Z133" i="8"/>
  <c r="U132" i="8"/>
  <c r="V132" i="8"/>
  <c r="M131" i="8"/>
  <c r="S130" i="8"/>
  <c r="U126" i="8"/>
  <c r="V126" i="8"/>
  <c r="Z126" i="8"/>
  <c r="R122" i="8"/>
  <c r="X121" i="8"/>
  <c r="T119" i="8"/>
  <c r="X117" i="8"/>
  <c r="Y171" i="8"/>
  <c r="V171" i="8"/>
  <c r="W169" i="8"/>
  <c r="Q149" i="8"/>
  <c r="Q148" i="8"/>
  <c r="W148" i="8"/>
  <c r="R148" i="8"/>
  <c r="S148" i="8"/>
  <c r="Q138" i="8"/>
  <c r="L138" i="8"/>
  <c r="Z137" i="8"/>
  <c r="S137" i="8"/>
  <c r="X129" i="8"/>
  <c r="P125" i="8"/>
  <c r="W125" i="8"/>
  <c r="X125" i="8"/>
  <c r="Q122" i="8"/>
  <c r="W117" i="8"/>
  <c r="W171" i="8"/>
  <c r="X166" i="8"/>
  <c r="N160" i="8"/>
  <c r="Y160" i="8"/>
  <c r="L159" i="8"/>
  <c r="L156" i="8"/>
  <c r="V154" i="8"/>
  <c r="Q151" i="8"/>
  <c r="L151" i="8"/>
  <c r="U145" i="8"/>
  <c r="Q145" i="8"/>
  <c r="S145" i="8"/>
  <c r="W138" i="8"/>
  <c r="P134" i="8"/>
  <c r="N127" i="8"/>
  <c r="Y127" i="8"/>
  <c r="R127" i="8"/>
  <c r="O125" i="8"/>
  <c r="S125" i="8"/>
  <c r="L124" i="8"/>
  <c r="U117" i="8"/>
  <c r="Y156" i="8"/>
  <c r="Z117" i="8"/>
  <c r="O117" i="8"/>
  <c r="Z162" i="8"/>
  <c r="V156" i="8"/>
  <c r="U143" i="8"/>
  <c r="Q139" i="8"/>
  <c r="W139" i="8"/>
  <c r="Y131" i="8"/>
  <c r="Q129" i="8"/>
  <c r="R129" i="8"/>
  <c r="Z123" i="8"/>
  <c r="Y117" i="8"/>
  <c r="N117" i="8"/>
  <c r="Q133" i="8"/>
  <c r="T127" i="8"/>
  <c r="U122" i="8"/>
  <c r="M122" i="8"/>
  <c r="V121" i="8"/>
  <c r="Z120" i="8"/>
  <c r="U120" i="8"/>
  <c r="V117" i="8"/>
  <c r="Q136" i="8"/>
  <c r="U134" i="8"/>
  <c r="Y132" i="8"/>
  <c r="Q127" i="8"/>
  <c r="U125" i="8"/>
  <c r="S136" i="8"/>
  <c r="S127" i="8"/>
  <c r="Q121" i="8"/>
  <c r="R121" i="8"/>
  <c r="Z118" i="8"/>
  <c r="X116" i="8"/>
  <c r="Y120" i="8"/>
  <c r="N120" i="8"/>
  <c r="U128" i="8"/>
  <c r="Y126" i="8"/>
  <c r="V120" i="8"/>
  <c r="V115" i="8"/>
  <c r="T112" i="8"/>
  <c r="T109" i="8"/>
  <c r="R115" i="8"/>
  <c r="R112" i="8"/>
  <c r="R109" i="8"/>
  <c r="R106" i="8"/>
  <c r="Q115" i="8"/>
  <c r="U113" i="8"/>
  <c r="Q112" i="8"/>
  <c r="U110" i="8"/>
  <c r="Q109" i="8"/>
  <c r="U107" i="8"/>
  <c r="Q106" i="8"/>
  <c r="U112" i="8"/>
  <c r="O115" i="8"/>
  <c r="S113" i="8"/>
  <c r="O112" i="8"/>
  <c r="S110" i="8"/>
  <c r="O109" i="8"/>
  <c r="S107" i="8"/>
  <c r="O106" i="8"/>
  <c r="U106" i="8"/>
  <c r="S112" i="8"/>
  <c r="N115" i="8"/>
  <c r="X115" i="8"/>
  <c r="L115" i="8"/>
  <c r="X112" i="8"/>
  <c r="L112" i="8"/>
  <c r="P110" i="8"/>
  <c r="X109" i="8"/>
  <c r="L109" i="8"/>
  <c r="L106" i="8"/>
  <c r="V109" i="8"/>
  <c r="U115" i="8"/>
  <c r="U109" i="8"/>
  <c r="T115" i="8"/>
  <c r="T106" i="8"/>
  <c r="S115" i="8"/>
  <c r="S109" i="8"/>
  <c r="S106" i="8"/>
  <c r="N112" i="8"/>
  <c r="N109" i="8"/>
  <c r="N106" i="8"/>
  <c r="U114" i="8"/>
  <c r="U111" i="8"/>
  <c r="U108" i="8"/>
  <c r="M106" i="8"/>
  <c r="U105" i="8"/>
  <c r="S75" i="8"/>
  <c r="U75" i="8"/>
  <c r="X68" i="8"/>
  <c r="M68" i="8"/>
  <c r="Z59" i="8"/>
  <c r="O59" i="8"/>
  <c r="L74" i="8"/>
  <c r="Q74" i="8"/>
  <c r="S103" i="8"/>
  <c r="R100" i="8"/>
  <c r="Q97" i="8"/>
  <c r="Z86" i="8"/>
  <c r="W83" i="8"/>
  <c r="Q100" i="8"/>
  <c r="X99" i="8"/>
  <c r="V93" i="8"/>
  <c r="Y92" i="8"/>
  <c r="U90" i="8"/>
  <c r="Z89" i="8"/>
  <c r="X89" i="8"/>
  <c r="M89" i="8"/>
  <c r="R87" i="8"/>
  <c r="W86" i="8"/>
  <c r="V83" i="8"/>
  <c r="O81" i="8"/>
  <c r="U80" i="8"/>
  <c r="W79" i="8"/>
  <c r="L79" i="8"/>
  <c r="Z77" i="8"/>
  <c r="O77" i="8"/>
  <c r="V75" i="8"/>
  <c r="W74" i="8"/>
  <c r="V69" i="8"/>
  <c r="W67" i="8"/>
  <c r="L67" i="8"/>
  <c r="Z65" i="8"/>
  <c r="O65" i="8"/>
  <c r="U62" i="8"/>
  <c r="Y60" i="8"/>
  <c r="L59" i="8"/>
  <c r="Q59" i="8"/>
  <c r="V54" i="8"/>
  <c r="V97" i="8"/>
  <c r="Z75" i="8"/>
  <c r="U79" i="8"/>
  <c r="V79" i="8"/>
  <c r="R101" i="8"/>
  <c r="Y96" i="8"/>
  <c r="X93" i="8"/>
  <c r="W63" i="8"/>
  <c r="W61" i="8"/>
  <c r="L61" i="8"/>
  <c r="N59" i="8"/>
  <c r="Y59" i="8"/>
  <c r="X54" i="8"/>
  <c r="Y99" i="8"/>
  <c r="W93" i="8"/>
  <c r="Q104" i="8"/>
  <c r="R103" i="8"/>
  <c r="Y102" i="8"/>
  <c r="W96" i="8"/>
  <c r="X102" i="8"/>
  <c r="W99" i="8"/>
  <c r="O97" i="8"/>
  <c r="V96" i="8"/>
  <c r="Y95" i="8"/>
  <c r="U93" i="8"/>
  <c r="Z92" i="8"/>
  <c r="X92" i="8"/>
  <c r="M92" i="8"/>
  <c r="R90" i="8"/>
  <c r="W89" i="8"/>
  <c r="O84" i="8"/>
  <c r="S79" i="8"/>
  <c r="Z78" i="8"/>
  <c r="S78" i="8"/>
  <c r="U78" i="8"/>
  <c r="Y77" i="8"/>
  <c r="N77" i="8"/>
  <c r="W73" i="8"/>
  <c r="L73" i="8"/>
  <c r="Z71" i="8"/>
  <c r="O71" i="8"/>
  <c r="U68" i="8"/>
  <c r="S67" i="8"/>
  <c r="Z66" i="8"/>
  <c r="S66" i="8"/>
  <c r="U66" i="8"/>
  <c r="Y65" i="8"/>
  <c r="N65" i="8"/>
  <c r="O63" i="8"/>
  <c r="Q61" i="8"/>
  <c r="X60" i="8"/>
  <c r="Z56" i="8"/>
  <c r="O56" i="8"/>
  <c r="U53" i="8"/>
  <c r="N74" i="8"/>
  <c r="Y74" i="8"/>
  <c r="L62" i="8"/>
  <c r="Q62" i="8"/>
  <c r="Y93" i="8"/>
  <c r="L80" i="8"/>
  <c r="Q80" i="8"/>
  <c r="L53" i="8"/>
  <c r="Q53" i="8"/>
  <c r="S104" i="8"/>
  <c r="V87" i="8"/>
  <c r="X83" i="8"/>
  <c r="M83" i="8"/>
  <c r="W62" i="8"/>
  <c r="S60" i="8"/>
  <c r="U60" i="8"/>
  <c r="Z102" i="8"/>
  <c r="Q101" i="8"/>
  <c r="X96" i="8"/>
  <c r="X59" i="8"/>
  <c r="M59" i="8"/>
  <c r="W102" i="8"/>
  <c r="Y98" i="8"/>
  <c r="U96" i="8"/>
  <c r="Z95" i="8"/>
  <c r="X95" i="8"/>
  <c r="M95" i="8"/>
  <c r="R93" i="8"/>
  <c r="W92" i="8"/>
  <c r="O87" i="8"/>
  <c r="N84" i="8"/>
  <c r="T83" i="8"/>
  <c r="S80" i="8"/>
  <c r="R79" i="8"/>
  <c r="X77" i="8"/>
  <c r="M77" i="8"/>
  <c r="U74" i="8"/>
  <c r="S72" i="8"/>
  <c r="U72" i="8"/>
  <c r="Y71" i="8"/>
  <c r="N71" i="8"/>
  <c r="T68" i="8"/>
  <c r="X65" i="8"/>
  <c r="M65" i="8"/>
  <c r="S62" i="8"/>
  <c r="W60" i="8"/>
  <c r="W59" i="8"/>
  <c r="W58" i="8"/>
  <c r="L58" i="8"/>
  <c r="S57" i="8"/>
  <c r="U57" i="8"/>
  <c r="N56" i="8"/>
  <c r="Y56" i="8"/>
  <c r="X104" i="8"/>
  <c r="M104" i="8"/>
  <c r="W97" i="8"/>
  <c r="L97" i="8"/>
  <c r="S101" i="8"/>
  <c r="S97" i="8"/>
  <c r="Z80" i="8"/>
  <c r="L68" i="8"/>
  <c r="Q68" i="8"/>
  <c r="X63" i="8"/>
  <c r="U84" i="8"/>
  <c r="W80" i="8"/>
  <c r="R104" i="8"/>
  <c r="V90" i="8"/>
  <c r="X86" i="8"/>
  <c r="M86" i="8"/>
  <c r="V80" i="8"/>
  <c r="W69" i="8"/>
  <c r="W54" i="8"/>
  <c r="O100" i="8"/>
  <c r="O103" i="8"/>
  <c r="V102" i="8"/>
  <c r="U99" i="8"/>
  <c r="Z98" i="8"/>
  <c r="X98" i="8"/>
  <c r="M98" i="8"/>
  <c r="R96" i="8"/>
  <c r="W95" i="8"/>
  <c r="V92" i="8"/>
  <c r="O90" i="8"/>
  <c r="U89" i="8"/>
  <c r="N87" i="8"/>
  <c r="T86" i="8"/>
  <c r="S83" i="8"/>
  <c r="V82" i="8"/>
  <c r="W82" i="8"/>
  <c r="L82" i="8"/>
  <c r="R80" i="8"/>
  <c r="Q79" i="8"/>
  <c r="X78" i="8"/>
  <c r="L77" i="8"/>
  <c r="Q77" i="8"/>
  <c r="O75" i="8"/>
  <c r="X71" i="8"/>
  <c r="M71" i="8"/>
  <c r="S68" i="8"/>
  <c r="Q67" i="8"/>
  <c r="X66" i="8"/>
  <c r="L65" i="8"/>
  <c r="Q65" i="8"/>
  <c r="R62" i="8"/>
  <c r="V60" i="8"/>
  <c r="V59" i="8"/>
  <c r="S58" i="8"/>
  <c r="Z57" i="8"/>
  <c r="X56" i="8"/>
  <c r="M56" i="8"/>
  <c r="S53" i="8"/>
  <c r="W84" i="8"/>
  <c r="X80" i="8"/>
  <c r="M80" i="8"/>
  <c r="X53" i="8"/>
  <c r="M53" i="8"/>
  <c r="T104" i="8"/>
  <c r="W100" i="8"/>
  <c r="L100" i="8"/>
  <c r="U81" i="8"/>
  <c r="X74" i="8"/>
  <c r="M74" i="8"/>
  <c r="W103" i="8"/>
  <c r="L103" i="8"/>
  <c r="Y86" i="8"/>
  <c r="Z83" i="8"/>
  <c r="Z79" i="8"/>
  <c r="X69" i="8"/>
  <c r="Y89" i="8"/>
  <c r="W68" i="8"/>
  <c r="S61" i="8"/>
  <c r="V99" i="8"/>
  <c r="Y104" i="8"/>
  <c r="U102" i="8"/>
  <c r="Z101" i="8"/>
  <c r="X101" i="8"/>
  <c r="M101" i="8"/>
  <c r="R99" i="8"/>
  <c r="W98" i="8"/>
  <c r="V95" i="8"/>
  <c r="O93" i="8"/>
  <c r="U92" i="8"/>
  <c r="N90" i="8"/>
  <c r="T89" i="8"/>
  <c r="S86" i="8"/>
  <c r="W85" i="8"/>
  <c r="L85" i="8"/>
  <c r="R83" i="8"/>
  <c r="S82" i="8"/>
  <c r="Z81" i="8"/>
  <c r="W78" i="8"/>
  <c r="S74" i="8"/>
  <c r="L71" i="8"/>
  <c r="Q71" i="8"/>
  <c r="R68" i="8"/>
  <c r="W66" i="8"/>
  <c r="U59" i="8"/>
  <c r="R58" i="8"/>
  <c r="L56" i="8"/>
  <c r="Q56" i="8"/>
  <c r="R53" i="8"/>
  <c r="W101" i="8"/>
  <c r="Z97" i="8"/>
  <c r="W88" i="8"/>
  <c r="L88" i="8"/>
  <c r="R74" i="8"/>
  <c r="Z62" i="8"/>
  <c r="O62" i="8"/>
  <c r="W91" i="8"/>
  <c r="L91" i="8"/>
  <c r="S88" i="8"/>
  <c r="Y84" i="8"/>
  <c r="N83" i="8"/>
  <c r="Z68" i="8"/>
  <c r="O68" i="8"/>
  <c r="W64" i="8"/>
  <c r="L64" i="8"/>
  <c r="S63" i="8"/>
  <c r="U63" i="8"/>
  <c r="N62" i="8"/>
  <c r="Y62" i="8"/>
  <c r="S59" i="8"/>
  <c r="Z53" i="8"/>
  <c r="O53" i="8"/>
  <c r="W94" i="8"/>
  <c r="L94" i="8"/>
  <c r="S91" i="8"/>
  <c r="Z90" i="8"/>
  <c r="R88" i="8"/>
  <c r="Y87" i="8"/>
  <c r="N86" i="8"/>
  <c r="X84" i="8"/>
  <c r="Y80" i="8"/>
  <c r="W76" i="8"/>
  <c r="L76" i="8"/>
  <c r="Z74" i="8"/>
  <c r="O74" i="8"/>
  <c r="W70" i="8"/>
  <c r="L70" i="8"/>
  <c r="S69" i="8"/>
  <c r="U69" i="8"/>
  <c r="Y68" i="8"/>
  <c r="N68" i="8"/>
  <c r="S64" i="8"/>
  <c r="Z63" i="8"/>
  <c r="X62" i="8"/>
  <c r="M62" i="8"/>
  <c r="R59" i="8"/>
  <c r="W55" i="8"/>
  <c r="L55" i="8"/>
  <c r="S54" i="8"/>
  <c r="U54" i="8"/>
  <c r="N53" i="8"/>
  <c r="Y53" i="8"/>
  <c r="T69" i="8"/>
  <c r="T63" i="8"/>
  <c r="T60" i="8"/>
  <c r="T57" i="8"/>
  <c r="T54" i="8"/>
  <c r="V73" i="8"/>
  <c r="V70" i="8"/>
  <c r="V67" i="8"/>
  <c r="V58" i="8"/>
  <c r="U64" i="8"/>
  <c r="U61" i="8"/>
  <c r="T35" i="8"/>
  <c r="X44" i="8"/>
  <c r="O5" i="8"/>
  <c r="O18" i="8"/>
  <c r="T19" i="8"/>
  <c r="U35" i="8"/>
  <c r="S8" i="8"/>
  <c r="Q10" i="8"/>
  <c r="Q18" i="8"/>
  <c r="N30" i="8"/>
  <c r="W34" i="8"/>
  <c r="R39" i="8"/>
  <c r="W4" i="8"/>
  <c r="X8" i="8"/>
  <c r="U13" i="8"/>
  <c r="R18" i="8"/>
  <c r="U21" i="8"/>
  <c r="S24" i="8"/>
  <c r="S39" i="8"/>
  <c r="S40" i="8"/>
  <c r="Q43" i="8"/>
  <c r="T4" i="8"/>
  <c r="Z15" i="8"/>
  <c r="V17" i="8"/>
  <c r="Z21" i="8"/>
  <c r="T24" i="8"/>
  <c r="V36" i="8"/>
  <c r="U39" i="8"/>
  <c r="R43" i="8"/>
  <c r="T50" i="8"/>
  <c r="V24" i="8"/>
  <c r="X39" i="8"/>
  <c r="R7" i="8"/>
  <c r="W31" i="8"/>
  <c r="Q15" i="8"/>
  <c r="Z39" i="8"/>
  <c r="U48" i="8"/>
  <c r="Y19" i="8"/>
  <c r="X20" i="8"/>
  <c r="X48" i="8"/>
  <c r="N6" i="8"/>
  <c r="Q8" i="8"/>
  <c r="Q12" i="8"/>
  <c r="V14" i="8"/>
  <c r="W16" i="8"/>
  <c r="Y20" i="8"/>
  <c r="W30" i="8"/>
  <c r="Z31" i="8"/>
  <c r="Q36" i="8"/>
  <c r="Q39" i="8"/>
  <c r="M27" i="8"/>
  <c r="N48" i="8"/>
  <c r="O51" i="8"/>
  <c r="T10" i="8"/>
  <c r="R34" i="8"/>
  <c r="O48" i="8"/>
  <c r="P51" i="8"/>
  <c r="W46" i="8"/>
  <c r="N14" i="8"/>
  <c r="V34" i="8"/>
  <c r="U4" i="8"/>
  <c r="Y17" i="8"/>
  <c r="O22" i="8"/>
  <c r="O33" i="8"/>
  <c r="M42" i="8"/>
  <c r="O3" i="8"/>
  <c r="Q32" i="8"/>
  <c r="T40" i="8"/>
  <c r="M41" i="8"/>
  <c r="N42" i="8"/>
  <c r="U9" i="8"/>
  <c r="T15" i="8"/>
  <c r="V22" i="8"/>
  <c r="Q26" i="8"/>
  <c r="T28" i="8"/>
  <c r="V39" i="8"/>
  <c r="N41" i="8"/>
  <c r="R45" i="8"/>
  <c r="Z48" i="8"/>
  <c r="R10" i="8"/>
  <c r="P34" i="8"/>
  <c r="O23" i="8"/>
  <c r="S5" i="8"/>
  <c r="M12" i="8"/>
  <c r="T17" i="8"/>
  <c r="X3" i="8"/>
  <c r="Z9" i="8"/>
  <c r="X17" i="8"/>
  <c r="S18" i="8"/>
  <c r="N33" i="8"/>
  <c r="N45" i="8"/>
  <c r="S48" i="8"/>
  <c r="M3" i="8"/>
  <c r="M9" i="8"/>
  <c r="X27" i="8"/>
  <c r="O32" i="8"/>
  <c r="V4" i="8"/>
  <c r="N21" i="8"/>
  <c r="Q3" i="8"/>
  <c r="N8" i="8"/>
  <c r="Y22" i="8"/>
  <c r="T26" i="8"/>
  <c r="T31" i="8"/>
  <c r="T32" i="8"/>
  <c r="Y35" i="8"/>
  <c r="Q37" i="8"/>
  <c r="O41" i="8"/>
  <c r="U42" i="8"/>
  <c r="S45" i="8"/>
  <c r="Z6" i="8"/>
  <c r="Y16" i="8"/>
  <c r="M20" i="8"/>
  <c r="R21" i="8"/>
  <c r="Q23" i="8"/>
  <c r="M30" i="8"/>
  <c r="U32" i="8"/>
  <c r="Z35" i="8"/>
  <c r="M36" i="8"/>
  <c r="R37" i="8"/>
  <c r="S41" i="8"/>
  <c r="W44" i="8"/>
  <c r="U45" i="8"/>
  <c r="T48" i="8"/>
  <c r="V51" i="8"/>
  <c r="Z52" i="8"/>
  <c r="Y5" i="8"/>
  <c r="R17" i="8"/>
  <c r="W41" i="8"/>
  <c r="Z5" i="8"/>
  <c r="V12" i="8"/>
  <c r="Z18" i="8"/>
  <c r="Y23" i="8"/>
  <c r="P43" i="8"/>
  <c r="W45" i="8"/>
  <c r="X50" i="8"/>
  <c r="U3" i="8"/>
  <c r="T8" i="8"/>
  <c r="X18" i="8"/>
  <c r="N29" i="8"/>
  <c r="U30" i="8"/>
  <c r="X45" i="8"/>
  <c r="Y50" i="8"/>
  <c r="W3" i="8"/>
  <c r="Y4" i="8"/>
  <c r="V5" i="8"/>
  <c r="U6" i="8"/>
  <c r="Y7" i="8"/>
  <c r="X9" i="8"/>
  <c r="N12" i="8"/>
  <c r="O13" i="8"/>
  <c r="L24" i="8"/>
  <c r="Y28" i="8"/>
  <c r="Y29" i="8"/>
  <c r="Y31" i="8"/>
  <c r="V32" i="8"/>
  <c r="U33" i="8"/>
  <c r="Y34" i="8"/>
  <c r="U36" i="8"/>
  <c r="T37" i="8"/>
  <c r="U40" i="8"/>
  <c r="Q42" i="8"/>
  <c r="Z50" i="8"/>
  <c r="R51" i="8"/>
  <c r="S6" i="8"/>
  <c r="R8" i="8"/>
  <c r="Y8" i="8"/>
  <c r="O12" i="8"/>
  <c r="X21" i="8"/>
  <c r="M24" i="8"/>
  <c r="M28" i="8"/>
  <c r="Z29" i="8"/>
  <c r="S33" i="8"/>
  <c r="W35" i="8"/>
  <c r="X36" i="8"/>
  <c r="Y41" i="8"/>
  <c r="R42" i="8"/>
  <c r="Y45" i="8"/>
  <c r="S51" i="8"/>
  <c r="V3" i="8"/>
  <c r="T6" i="8"/>
  <c r="P12" i="8"/>
  <c r="Y13" i="8"/>
  <c r="L17" i="8"/>
  <c r="M21" i="8"/>
  <c r="N23" i="8"/>
  <c r="N24" i="8"/>
  <c r="Z27" i="8"/>
  <c r="T33" i="8"/>
  <c r="Y36" i="8"/>
  <c r="S42" i="8"/>
  <c r="Y44" i="8"/>
  <c r="M45" i="8"/>
  <c r="Y48" i="8"/>
  <c r="T51" i="8"/>
  <c r="W51" i="8"/>
  <c r="P9" i="8"/>
  <c r="Q28" i="8"/>
  <c r="L39" i="8"/>
  <c r="R12" i="8"/>
  <c r="L15" i="8"/>
  <c r="N17" i="8"/>
  <c r="T23" i="8"/>
  <c r="Q24" i="8"/>
  <c r="R28" i="8"/>
  <c r="M39" i="8"/>
  <c r="Y10" i="8"/>
  <c r="W12" i="8"/>
  <c r="U12" i="8"/>
  <c r="Y14" i="8"/>
  <c r="M15" i="8"/>
  <c r="Q17" i="8"/>
  <c r="T22" i="8"/>
  <c r="U23" i="8"/>
  <c r="U24" i="8"/>
  <c r="L26" i="8"/>
  <c r="N39" i="8"/>
  <c r="Z51" i="8"/>
  <c r="N3" i="8"/>
  <c r="O4" i="8"/>
  <c r="N5" i="8"/>
  <c r="L6" i="8"/>
  <c r="L8" i="8"/>
  <c r="T12" i="8"/>
  <c r="Z14" i="8"/>
  <c r="N15" i="8"/>
  <c r="V16" i="8"/>
  <c r="S17" i="8"/>
  <c r="P18" i="8"/>
  <c r="Q21" i="8"/>
  <c r="V23" i="8"/>
  <c r="W25" i="8"/>
  <c r="U27" i="8"/>
  <c r="X30" i="8"/>
  <c r="O31" i="8"/>
  <c r="N32" i="8"/>
  <c r="L33" i="8"/>
  <c r="L35" i="8"/>
  <c r="U38" i="8"/>
  <c r="Q45" i="8"/>
  <c r="U47" i="8"/>
  <c r="P48" i="8"/>
  <c r="L51" i="8"/>
  <c r="I206" i="10"/>
  <c r="C206" i="10" s="1"/>
  <c r="Z10" i="8"/>
  <c r="U10" i="8"/>
  <c r="S10" i="8"/>
  <c r="U26" i="8"/>
  <c r="O26" i="8"/>
  <c r="V38" i="8"/>
  <c r="Y38" i="8"/>
  <c r="T38" i="8"/>
  <c r="N47" i="8"/>
  <c r="Y47" i="8"/>
  <c r="L16" i="8"/>
  <c r="S16" i="8"/>
  <c r="P38" i="8"/>
  <c r="W38" i="8"/>
  <c r="X38" i="8"/>
  <c r="R5" i="8"/>
  <c r="L5" i="8"/>
  <c r="Q9" i="8"/>
  <c r="O10" i="8"/>
  <c r="X16" i="8"/>
  <c r="M16" i="8"/>
  <c r="U16" i="8"/>
  <c r="T16" i="8"/>
  <c r="W18" i="8"/>
  <c r="Z20" i="8"/>
  <c r="L31" i="8"/>
  <c r="S31" i="8"/>
  <c r="Q31" i="8"/>
  <c r="R31" i="8"/>
  <c r="R32" i="8"/>
  <c r="L32" i="8"/>
  <c r="W32" i="8"/>
  <c r="W49" i="8"/>
  <c r="X4" i="8"/>
  <c r="M4" i="8"/>
  <c r="X5" i="8"/>
  <c r="R9" i="8"/>
  <c r="P10" i="8"/>
  <c r="T11" i="8"/>
  <c r="U17" i="8"/>
  <c r="O17" i="8"/>
  <c r="T18" i="8"/>
  <c r="R20" i="8"/>
  <c r="S20" i="8"/>
  <c r="Q20" i="8"/>
  <c r="W20" i="8"/>
  <c r="S21" i="8"/>
  <c r="Q25" i="8"/>
  <c r="Z28" i="8"/>
  <c r="U28" i="8"/>
  <c r="S28" i="8"/>
  <c r="X31" i="8"/>
  <c r="M31" i="8"/>
  <c r="X32" i="8"/>
  <c r="S36" i="8"/>
  <c r="O44" i="8"/>
  <c r="Z44" i="8"/>
  <c r="M46" i="8"/>
  <c r="X46" i="8"/>
  <c r="T46" i="8"/>
  <c r="U46" i="8"/>
  <c r="Q46" i="8"/>
  <c r="M47" i="8"/>
  <c r="R50" i="8"/>
  <c r="Q50" i="8"/>
  <c r="S50" i="8"/>
  <c r="W50" i="8"/>
  <c r="R14" i="8"/>
  <c r="L14" i="8"/>
  <c r="Z49" i="8"/>
  <c r="O49" i="8"/>
  <c r="Z25" i="8"/>
  <c r="O25" i="8"/>
  <c r="S23" i="8"/>
  <c r="L3" i="8"/>
  <c r="N38" i="8"/>
  <c r="N46" i="8"/>
  <c r="Y46" i="8"/>
  <c r="V46" i="8"/>
  <c r="R46" i="8"/>
  <c r="M50" i="8"/>
  <c r="U50" i="8"/>
  <c r="L52" i="8"/>
  <c r="W52" i="8"/>
  <c r="R52" i="8"/>
  <c r="S52" i="8"/>
  <c r="S3" i="8"/>
  <c r="R29" i="8"/>
  <c r="S29" i="8"/>
  <c r="Q29" i="8"/>
  <c r="W29" i="8"/>
  <c r="S30" i="8"/>
  <c r="X24" i="8"/>
  <c r="W24" i="8"/>
  <c r="V27" i="8"/>
  <c r="N27" i="8"/>
  <c r="Y27" i="8"/>
  <c r="T41" i="8"/>
  <c r="U41" i="8"/>
  <c r="L4" i="8"/>
  <c r="S4" i="8"/>
  <c r="Q4" i="8"/>
  <c r="R4" i="8"/>
  <c r="W5" i="8"/>
  <c r="N11" i="8"/>
  <c r="S9" i="8"/>
  <c r="X11" i="8"/>
  <c r="X15" i="8"/>
  <c r="W15" i="8"/>
  <c r="Z16" i="8"/>
  <c r="O16" i="8"/>
  <c r="V18" i="8"/>
  <c r="N18" i="8"/>
  <c r="Y18" i="8"/>
  <c r="U20" i="8"/>
  <c r="R25" i="8"/>
  <c r="L29" i="8"/>
  <c r="L30" i="8"/>
  <c r="L7" i="8"/>
  <c r="S7" i="8"/>
  <c r="Y11" i="8"/>
  <c r="T13" i="8"/>
  <c r="Q14" i="8"/>
  <c r="V20" i="8"/>
  <c r="P24" i="8"/>
  <c r="V25" i="8"/>
  <c r="S26" i="8"/>
  <c r="M29" i="8"/>
  <c r="L34" i="8"/>
  <c r="S34" i="8"/>
  <c r="W36" i="8"/>
  <c r="O38" i="8"/>
  <c r="N43" i="8"/>
  <c r="Y43" i="8"/>
  <c r="T43" i="8"/>
  <c r="V43" i="8"/>
  <c r="Z46" i="8"/>
  <c r="S46" i="8"/>
  <c r="V47" i="8"/>
  <c r="N50" i="8"/>
  <c r="V50" i="8"/>
  <c r="M52" i="8"/>
  <c r="X52" i="8"/>
  <c r="U52" i="8"/>
  <c r="T52" i="8"/>
  <c r="X14" i="8"/>
  <c r="X7" i="8"/>
  <c r="M7" i="8"/>
  <c r="U7" i="8"/>
  <c r="T7" i="8"/>
  <c r="R23" i="8"/>
  <c r="L23" i="8"/>
  <c r="X34" i="8"/>
  <c r="M34" i="8"/>
  <c r="U34" i="8"/>
  <c r="T34" i="8"/>
  <c r="Z43" i="8"/>
  <c r="U43" i="8"/>
  <c r="S43" i="8"/>
  <c r="Z47" i="8"/>
  <c r="L13" i="8"/>
  <c r="S13" i="8"/>
  <c r="Q13" i="8"/>
  <c r="R13" i="8"/>
  <c r="Z11" i="8"/>
  <c r="S14" i="8"/>
  <c r="L22" i="8"/>
  <c r="S22" i="8"/>
  <c r="R22" i="8"/>
  <c r="Q22" i="8"/>
  <c r="S38" i="8"/>
  <c r="Z42" i="8"/>
  <c r="Y42" i="8"/>
  <c r="X42" i="8"/>
  <c r="U8" i="8"/>
  <c r="O8" i="8"/>
  <c r="R11" i="8"/>
  <c r="S11" i="8"/>
  <c r="Q11" i="8"/>
  <c r="W11" i="8"/>
  <c r="S12" i="8"/>
  <c r="V13" i="8"/>
  <c r="T14" i="8"/>
  <c r="Q16" i="8"/>
  <c r="Z19" i="8"/>
  <c r="U19" i="8"/>
  <c r="S19" i="8"/>
  <c r="X22" i="8"/>
  <c r="M22" i="8"/>
  <c r="X23" i="8"/>
  <c r="Y25" i="8"/>
  <c r="X26" i="8"/>
  <c r="R27" i="8"/>
  <c r="P28" i="8"/>
  <c r="T29" i="8"/>
  <c r="V35" i="8"/>
  <c r="O35" i="8"/>
  <c r="Z38" i="8"/>
  <c r="N44" i="8"/>
  <c r="O46" i="8"/>
  <c r="L48" i="8"/>
  <c r="W48" i="8"/>
  <c r="R48" i="8"/>
  <c r="Q48" i="8"/>
  <c r="X13" i="8"/>
  <c r="M13" i="8"/>
  <c r="W9" i="8"/>
  <c r="W23" i="8"/>
  <c r="Q27" i="8"/>
  <c r="X6" i="8"/>
  <c r="W6" i="8"/>
  <c r="Z7" i="8"/>
  <c r="O7" i="8"/>
  <c r="V9" i="8"/>
  <c r="N9" i="8"/>
  <c r="Y9" i="8"/>
  <c r="U11" i="8"/>
  <c r="W13" i="8"/>
  <c r="U14" i="8"/>
  <c r="R16" i="8"/>
  <c r="L20" i="8"/>
  <c r="L21" i="8"/>
  <c r="Z24" i="8"/>
  <c r="Y26" i="8"/>
  <c r="S27" i="8"/>
  <c r="X29" i="8"/>
  <c r="X33" i="8"/>
  <c r="W33" i="8"/>
  <c r="Z34" i="8"/>
  <c r="O34" i="8"/>
  <c r="P35" i="8"/>
  <c r="X35" i="8"/>
  <c r="W39" i="8"/>
  <c r="O43" i="8"/>
  <c r="V44" i="8"/>
  <c r="P46" i="8"/>
  <c r="L49" i="8"/>
  <c r="S49" i="8"/>
  <c r="R49" i="8"/>
  <c r="Q49" i="8"/>
  <c r="L50" i="8"/>
  <c r="L25" i="8"/>
  <c r="S25" i="8"/>
  <c r="Z26" i="8"/>
  <c r="Q30" i="8"/>
  <c r="R47" i="8"/>
  <c r="Q47" i="8"/>
  <c r="S47" i="8"/>
  <c r="W47" i="8"/>
  <c r="M49" i="8"/>
  <c r="X49" i="8"/>
  <c r="U49" i="8"/>
  <c r="T49" i="8"/>
  <c r="W14" i="8"/>
  <c r="X25" i="8"/>
  <c r="M25" i="8"/>
  <c r="U25" i="8"/>
  <c r="T25" i="8"/>
  <c r="V26" i="8"/>
  <c r="W27" i="8"/>
  <c r="R30" i="8"/>
  <c r="T47" i="8"/>
  <c r="X47" i="8"/>
  <c r="N49" i="8"/>
  <c r="Y49" i="8"/>
  <c r="N52" i="8"/>
  <c r="Y52" i="8"/>
  <c r="Z36" i="8"/>
  <c r="L37" i="8"/>
  <c r="W37" i="8"/>
  <c r="Z40" i="8"/>
  <c r="V40" i="8"/>
  <c r="W42" i="8"/>
  <c r="R44" i="8"/>
  <c r="Q44" i="8"/>
  <c r="S44" i="8"/>
  <c r="Y6" i="8"/>
  <c r="Y15" i="8"/>
  <c r="Y24" i="8"/>
  <c r="Y33" i="8"/>
  <c r="U44" i="8"/>
  <c r="T44" i="8"/>
  <c r="O52" i="8"/>
  <c r="V52" i="8"/>
  <c r="R6" i="8"/>
  <c r="X10" i="8"/>
  <c r="V10" i="8"/>
  <c r="R15" i="8"/>
  <c r="X19" i="8"/>
  <c r="V19" i="8"/>
  <c r="R24" i="8"/>
  <c r="X28" i="8"/>
  <c r="V28" i="8"/>
  <c r="R33" i="8"/>
  <c r="N37" i="8"/>
  <c r="Y37" i="8"/>
  <c r="R38" i="8"/>
  <c r="Q38" i="8"/>
  <c r="M40" i="8"/>
  <c r="X40" i="8"/>
  <c r="W40" i="8"/>
  <c r="Z45" i="8"/>
  <c r="Y51" i="8"/>
  <c r="R35" i="8"/>
  <c r="Q35" i="8"/>
  <c r="M37" i="8"/>
  <c r="X37" i="8"/>
  <c r="Y3" i="8"/>
  <c r="W8" i="8"/>
  <c r="W10" i="8"/>
  <c r="Y12" i="8"/>
  <c r="W17" i="8"/>
  <c r="W19" i="8"/>
  <c r="Y21" i="8"/>
  <c r="W26" i="8"/>
  <c r="W28" i="8"/>
  <c r="Y30" i="8"/>
  <c r="Z37" i="8"/>
  <c r="N40" i="8"/>
  <c r="Y40" i="8"/>
  <c r="R41" i="8"/>
  <c r="Q41" i="8"/>
  <c r="M43" i="8"/>
  <c r="X43" i="8"/>
  <c r="H176" i="10" l="1"/>
  <c r="H182" i="10" s="1"/>
  <c r="O177" i="10" l="1"/>
  <c r="AC51" i="10" s="1"/>
  <c r="AE51" i="10" s="1"/>
  <c r="H188" i="10"/>
  <c r="H194" i="10" s="1"/>
  <c r="H200" i="10" s="1"/>
  <c r="H206" i="10" s="1"/>
  <c r="AC19" i="10" l="1"/>
  <c r="AE19" i="10" s="1"/>
  <c r="AC17" i="10"/>
  <c r="AE17" i="10" s="1"/>
  <c r="AC144" i="10"/>
  <c r="AE144" i="10" s="1"/>
  <c r="AC49" i="10"/>
  <c r="AE49" i="10" s="1"/>
  <c r="AC31" i="10"/>
  <c r="AE31" i="10" s="1"/>
  <c r="AC171" i="10"/>
  <c r="AE171" i="10" s="1"/>
  <c r="AC75" i="10"/>
  <c r="AE75" i="10" s="1"/>
  <c r="AC71" i="10"/>
  <c r="AE71" i="10" s="1"/>
  <c r="AC110" i="10"/>
  <c r="AE110" i="10" s="1"/>
  <c r="AC86" i="10"/>
  <c r="AE86" i="10" s="1"/>
  <c r="AC137" i="10"/>
  <c r="AE137" i="10" s="1"/>
  <c r="AC91" i="10"/>
  <c r="AE91" i="10" s="1"/>
  <c r="AC64" i="10"/>
  <c r="AE64" i="10" s="1"/>
  <c r="AC115" i="10"/>
  <c r="AE115" i="10" s="1"/>
  <c r="AC146" i="10"/>
  <c r="AE146" i="10" s="1"/>
  <c r="AC143" i="10"/>
  <c r="AE143" i="10" s="1"/>
  <c r="AC7" i="10"/>
  <c r="AE7" i="10" s="1"/>
  <c r="AC12" i="10"/>
  <c r="AE12" i="10" s="1"/>
  <c r="AC44" i="10"/>
  <c r="AE44" i="10" s="1"/>
  <c r="AC132" i="10"/>
  <c r="AE132" i="10" s="1"/>
  <c r="AC145" i="10"/>
  <c r="AE145" i="10" s="1"/>
  <c r="AC45" i="10"/>
  <c r="AE45" i="10" s="1"/>
  <c r="AC58" i="10"/>
  <c r="AE58" i="10" s="1"/>
  <c r="AC67" i="10"/>
  <c r="AE67" i="10" s="1"/>
  <c r="AC14" i="10"/>
  <c r="AE14" i="10" s="1"/>
  <c r="AC111" i="10"/>
  <c r="AE111" i="10" s="1"/>
  <c r="AC62" i="10"/>
  <c r="AE62" i="10" s="1"/>
  <c r="AC107" i="10"/>
  <c r="AE107" i="10" s="1"/>
  <c r="AC121" i="10"/>
  <c r="AE121" i="10" s="1"/>
  <c r="AC15" i="10"/>
  <c r="AE15" i="10" s="1"/>
  <c r="AC163" i="10"/>
  <c r="AE163" i="10" s="1"/>
  <c r="AC16" i="10"/>
  <c r="AE16" i="10" s="1"/>
  <c r="AC4" i="10"/>
  <c r="AE4" i="10" s="1"/>
  <c r="AC26" i="10"/>
  <c r="AE26" i="10" s="1"/>
  <c r="AC38" i="10"/>
  <c r="AE38" i="10" s="1"/>
  <c r="AC112" i="10"/>
  <c r="AE112" i="10" s="1"/>
  <c r="AC103" i="10"/>
  <c r="AE103" i="10" s="1"/>
  <c r="AC78" i="10"/>
  <c r="AE78" i="10" s="1"/>
  <c r="AC35" i="10"/>
  <c r="AE35" i="10" s="1"/>
  <c r="AC172" i="10"/>
  <c r="AE172" i="10" s="1"/>
  <c r="AC46" i="10"/>
  <c r="AE46" i="10" s="1"/>
  <c r="AC119" i="10"/>
  <c r="AE119" i="10" s="1"/>
  <c r="AC68" i="10"/>
  <c r="AE68" i="10" s="1"/>
  <c r="AC99" i="10"/>
  <c r="AE99" i="10" s="1"/>
  <c r="AC83" i="10"/>
  <c r="AE83" i="10" s="1"/>
  <c r="AC76" i="10"/>
  <c r="AE76" i="10" s="1"/>
  <c r="AC29" i="10"/>
  <c r="AE29" i="10" s="1"/>
  <c r="AC166" i="10"/>
  <c r="AE166" i="10" s="1"/>
  <c r="AC55" i="10"/>
  <c r="AE55" i="10" s="1"/>
  <c r="AC162" i="10"/>
  <c r="AE162" i="10" s="1"/>
  <c r="AC126" i="10"/>
  <c r="AE126" i="10" s="1"/>
  <c r="AC11" i="10"/>
  <c r="AE11" i="10" s="1"/>
  <c r="AC10" i="10"/>
  <c r="AE10" i="10" s="1"/>
  <c r="AC153" i="10"/>
  <c r="AE153" i="10" s="1"/>
  <c r="AC73" i="10"/>
  <c r="AE73" i="10" s="1"/>
  <c r="AC134" i="10"/>
  <c r="AE134" i="10" s="1"/>
  <c r="AC20" i="10"/>
  <c r="AE20" i="10" s="1"/>
  <c r="AC84" i="10"/>
  <c r="AE84" i="10" s="1"/>
  <c r="AC165" i="10"/>
  <c r="AE165" i="10" s="1"/>
  <c r="AC34" i="10"/>
  <c r="AE34" i="10" s="1"/>
  <c r="AC21" i="10"/>
  <c r="AE21" i="10" s="1"/>
  <c r="AC52" i="10"/>
  <c r="AE52" i="10" s="1"/>
  <c r="AC123" i="10"/>
  <c r="AE123" i="10" s="1"/>
  <c r="AC70" i="10"/>
  <c r="AE70" i="10" s="1"/>
  <c r="AC74" i="10"/>
  <c r="AE74" i="10" s="1"/>
  <c r="AC3" i="10"/>
  <c r="AE3" i="10" s="1"/>
  <c r="AC117" i="10"/>
  <c r="AE117" i="10" s="1"/>
  <c r="AC32" i="10"/>
  <c r="AE32" i="10" s="1"/>
  <c r="AC139" i="10"/>
  <c r="AE139" i="10" s="1"/>
  <c r="AC5" i="10"/>
  <c r="AE5" i="10" s="1"/>
  <c r="AC148" i="10"/>
  <c r="AE148" i="10" s="1"/>
  <c r="AC95" i="10"/>
  <c r="AE95" i="10" s="1"/>
  <c r="AC157" i="10"/>
  <c r="AE157" i="10" s="1"/>
  <c r="AC113" i="10"/>
  <c r="AE113" i="10" s="1"/>
  <c r="AC77" i="10"/>
  <c r="AE77" i="10" s="1"/>
  <c r="AC37" i="10"/>
  <c r="AE37" i="10" s="1"/>
  <c r="AC138" i="10"/>
  <c r="AE138" i="10" s="1"/>
  <c r="AC152" i="10"/>
  <c r="AE152" i="10" s="1"/>
  <c r="AC93" i="10"/>
  <c r="AE93" i="10" s="1"/>
  <c r="AC140" i="10"/>
  <c r="AE140" i="10" s="1"/>
  <c r="AC124" i="10"/>
  <c r="AE124" i="10" s="1"/>
  <c r="AC30" i="10"/>
  <c r="AE30" i="10" s="1"/>
  <c r="AC106" i="10"/>
  <c r="AE106" i="10" s="1"/>
  <c r="AC133" i="10"/>
  <c r="AE133" i="10" s="1"/>
  <c r="AC79" i="10"/>
  <c r="AE79" i="10" s="1"/>
  <c r="AC65" i="10"/>
  <c r="AE65" i="10" s="1"/>
  <c r="AC22" i="10"/>
  <c r="AE22" i="10" s="1"/>
  <c r="AC154" i="10"/>
  <c r="AE154" i="10" s="1"/>
  <c r="AC61" i="10"/>
  <c r="AE61" i="10" s="1"/>
  <c r="AC88" i="10"/>
  <c r="AE88" i="10" s="1"/>
  <c r="AC149" i="10"/>
  <c r="AE149" i="10" s="1"/>
  <c r="AC102" i="10"/>
  <c r="AE102" i="10" s="1"/>
  <c r="AC156" i="10"/>
  <c r="AE156" i="10" s="1"/>
  <c r="AC161" i="10"/>
  <c r="AE161" i="10" s="1"/>
  <c r="AC120" i="10"/>
  <c r="AE120" i="10" s="1"/>
  <c r="AC114" i="10"/>
  <c r="AE114" i="10" s="1"/>
  <c r="AC56" i="10"/>
  <c r="AE56" i="10" s="1"/>
  <c r="AC98" i="10"/>
  <c r="AE98" i="10" s="1"/>
  <c r="AC85" i="10"/>
  <c r="AE85" i="10" s="1"/>
  <c r="AC136" i="10"/>
  <c r="AE136" i="10" s="1"/>
  <c r="AC28" i="10"/>
  <c r="AE28" i="10" s="1"/>
  <c r="AC131" i="10"/>
  <c r="AE131" i="10" s="1"/>
  <c r="AC27" i="10"/>
  <c r="AE27" i="10" s="1"/>
  <c r="AC59" i="10"/>
  <c r="AE59" i="10" s="1"/>
  <c r="AC96" i="10"/>
  <c r="AE96" i="10" s="1"/>
  <c r="AC40" i="10"/>
  <c r="AE40" i="10" s="1"/>
  <c r="AC167" i="10"/>
  <c r="AE167" i="10" s="1"/>
  <c r="AC39" i="10"/>
  <c r="AE39" i="10" s="1"/>
  <c r="AC101" i="10"/>
  <c r="AE101" i="10" s="1"/>
  <c r="AC164" i="10"/>
  <c r="AE164" i="10" s="1"/>
  <c r="AC66" i="10"/>
  <c r="AE66" i="10" s="1"/>
  <c r="AC168" i="10"/>
  <c r="AE168" i="10" s="1"/>
  <c r="AC43" i="10"/>
  <c r="AE43" i="10" s="1"/>
  <c r="AC127" i="10"/>
  <c r="AE127" i="10" s="1"/>
  <c r="AC63" i="10"/>
  <c r="AE63" i="10" s="1"/>
  <c r="AC159" i="10"/>
  <c r="AE159" i="10" s="1"/>
  <c r="AC141" i="10"/>
  <c r="AE141" i="10" s="1"/>
  <c r="AC130" i="10"/>
  <c r="AE130" i="10" s="1"/>
  <c r="AC129" i="10"/>
  <c r="AE129" i="10" s="1"/>
  <c r="AC105" i="10"/>
  <c r="AE105" i="10" s="1"/>
  <c r="AC108" i="10"/>
  <c r="AE108" i="10" s="1"/>
  <c r="AC150" i="10"/>
  <c r="AE150" i="10" s="1"/>
  <c r="AC109" i="10"/>
  <c r="AE109" i="10" s="1"/>
  <c r="AC118" i="10"/>
  <c r="AE118" i="10" s="1"/>
  <c r="AC135" i="10"/>
  <c r="AE135" i="10" s="1"/>
  <c r="AC13" i="10"/>
  <c r="AE13" i="10" s="1"/>
  <c r="AC100" i="10"/>
  <c r="AE100" i="10" s="1"/>
  <c r="AC48" i="10"/>
  <c r="AE48" i="10" s="1"/>
  <c r="AC125" i="10"/>
  <c r="AE125" i="10" s="1"/>
  <c r="AC169" i="10"/>
  <c r="AE169" i="10" s="1"/>
  <c r="AC87" i="10"/>
  <c r="AE87" i="10" s="1"/>
  <c r="AC160" i="10"/>
  <c r="AE160" i="10" s="1"/>
  <c r="AC18" i="10"/>
  <c r="AE18" i="10" s="1"/>
  <c r="AC53" i="10"/>
  <c r="AE53" i="10" s="1"/>
  <c r="AC89" i="10"/>
  <c r="AE89" i="10" s="1"/>
  <c r="AC155" i="10"/>
  <c r="AE155" i="10" s="1"/>
  <c r="AC80" i="10"/>
  <c r="AE80" i="10" s="1"/>
  <c r="AC41" i="10"/>
  <c r="AE41" i="10" s="1"/>
  <c r="AC9" i="10"/>
  <c r="AE9" i="10" s="1"/>
  <c r="AC23" i="10"/>
  <c r="AE23" i="10" s="1"/>
  <c r="AC42" i="10"/>
  <c r="AE42" i="10" s="1"/>
  <c r="AC82" i="10"/>
  <c r="AE82" i="10" s="1"/>
  <c r="AC158" i="10"/>
  <c r="AE158" i="10" s="1"/>
  <c r="AC90" i="10"/>
  <c r="AE90" i="10" s="1"/>
  <c r="AC8" i="10"/>
  <c r="AE8" i="10" s="1"/>
  <c r="AC47" i="10"/>
  <c r="AE47" i="10" s="1"/>
  <c r="AC147" i="10"/>
  <c r="AE147" i="10" s="1"/>
  <c r="AC92" i="10"/>
  <c r="AE92" i="10" s="1"/>
  <c r="AC97" i="10"/>
  <c r="AE97" i="10" s="1"/>
  <c r="AC33" i="10"/>
  <c r="AE33" i="10" s="1"/>
  <c r="AC151" i="10"/>
  <c r="AE151" i="10" s="1"/>
  <c r="AC24" i="10"/>
  <c r="AE24" i="10" s="1"/>
  <c r="AC69" i="10"/>
  <c r="AE69" i="10" s="1"/>
  <c r="AC36" i="10"/>
  <c r="AE36" i="10" s="1"/>
  <c r="AC50" i="10"/>
  <c r="AE50" i="10" s="1"/>
  <c r="AC128" i="10"/>
  <c r="AE128" i="10" s="1"/>
  <c r="AC104" i="10"/>
  <c r="AE104" i="10" s="1"/>
  <c r="AC6" i="10"/>
  <c r="AE6" i="10" s="1"/>
  <c r="AC72" i="10"/>
  <c r="AE72" i="10" s="1"/>
  <c r="AC25" i="10"/>
  <c r="AE25" i="10" s="1"/>
  <c r="AC60" i="10"/>
  <c r="AE60" i="10" s="1"/>
  <c r="AC116" i="10"/>
  <c r="AE116" i="10" s="1"/>
  <c r="AC54" i="10"/>
  <c r="AE54" i="10" s="1"/>
  <c r="AC57" i="10"/>
  <c r="AE57" i="10" s="1"/>
  <c r="AC81" i="10"/>
  <c r="AE81" i="10" s="1"/>
  <c r="AC142" i="10"/>
  <c r="AE142" i="10" s="1"/>
  <c r="AC94" i="10"/>
  <c r="AE94" i="10" s="1"/>
  <c r="AC170" i="10"/>
  <c r="AE170" i="10" s="1"/>
  <c r="AC122" i="10"/>
  <c r="AE122" i="10" s="1"/>
  <c r="H179" i="10"/>
  <c r="H178" i="10"/>
  <c r="H177" i="10"/>
  <c r="H180" i="10"/>
  <c r="G180" i="10"/>
  <c r="G179" i="10"/>
  <c r="E180" i="10"/>
  <c r="G178" i="10"/>
  <c r="D180" i="10"/>
  <c r="C180" i="10"/>
  <c r="G176" i="10"/>
  <c r="G182" i="10" s="1"/>
  <c r="G188" i="10" s="1"/>
  <c r="G194" i="10" s="1"/>
  <c r="G200" i="10" s="1"/>
  <c r="G206" i="10" s="1"/>
  <c r="F179" i="10"/>
  <c r="E179" i="10"/>
  <c r="E178" i="10"/>
  <c r="D177" i="10"/>
  <c r="F177" i="10"/>
  <c r="C177" i="10"/>
  <c r="I183" i="10" s="1"/>
  <c r="C183" i="10" s="1"/>
  <c r="C189" i="10" s="1"/>
  <c r="C195" i="10" s="1"/>
  <c r="C201" i="10" s="1"/>
  <c r="C207" i="10" s="1"/>
  <c r="E176" i="10"/>
  <c r="E182" i="10" s="1"/>
  <c r="E188" i="10" s="1"/>
  <c r="E194" i="10" s="1"/>
  <c r="E200" i="10" s="1"/>
  <c r="E206" i="10" s="1"/>
  <c r="F176" i="10"/>
  <c r="F182" i="10" s="1"/>
  <c r="F188" i="10" s="1"/>
  <c r="F194" i="10" s="1"/>
  <c r="F200" i="10" s="1"/>
  <c r="F206" i="10" s="1"/>
  <c r="D179" i="10" l="1"/>
  <c r="D176" i="10"/>
  <c r="D182" i="10" s="1"/>
  <c r="D188" i="10" s="1"/>
  <c r="D194" i="10" s="1"/>
  <c r="D200" i="10" s="1"/>
  <c r="D206" i="10" s="1"/>
  <c r="C178" i="10"/>
  <c r="I184" i="10" s="1"/>
  <c r="H184" i="10" s="1"/>
  <c r="G177" i="10"/>
  <c r="F183" i="10"/>
  <c r="F189" i="10" s="1"/>
  <c r="F195" i="10" s="1"/>
  <c r="F201" i="10" s="1"/>
  <c r="F180" i="10"/>
  <c r="F178" i="10"/>
  <c r="F184" i="10" s="1"/>
  <c r="D183" i="10"/>
  <c r="D189" i="10" s="1"/>
  <c r="D195" i="10" s="1"/>
  <c r="D201" i="10" s="1"/>
  <c r="I207" i="10" s="1"/>
  <c r="F207" i="10" s="1"/>
  <c r="G183" i="10"/>
  <c r="G189" i="10" s="1"/>
  <c r="G195" i="10" s="1"/>
  <c r="G201" i="10" s="1"/>
  <c r="AE173" i="10"/>
  <c r="K180" i="10" s="1"/>
  <c r="E184" i="10"/>
  <c r="D178" i="10"/>
  <c r="E177" i="10"/>
  <c r="E183" i="10" s="1"/>
  <c r="E189" i="10" s="1"/>
  <c r="E195" i="10" s="1"/>
  <c r="E201" i="10" s="1"/>
  <c r="C179" i="10"/>
  <c r="H183" i="10"/>
  <c r="H189" i="10" s="1"/>
  <c r="H195" i="10" s="1"/>
  <c r="H201" i="10" s="1"/>
  <c r="I186" i="10"/>
  <c r="G184" i="10" l="1"/>
  <c r="C184" i="10"/>
  <c r="C190" i="10" s="1"/>
  <c r="C196" i="10" s="1"/>
  <c r="C202" i="10" s="1"/>
  <c r="C208" i="10" s="1"/>
  <c r="G207" i="10"/>
  <c r="D207" i="10"/>
  <c r="D184" i="10"/>
  <c r="H207" i="10"/>
  <c r="E207" i="10"/>
  <c r="I190" i="10"/>
  <c r="H190" i="10" s="1"/>
  <c r="H196" i="10" s="1"/>
  <c r="H202" i="10" s="1"/>
  <c r="D186" i="10"/>
  <c r="G186" i="10"/>
  <c r="E186" i="10"/>
  <c r="F186" i="10"/>
  <c r="H186" i="10"/>
  <c r="I185" i="10"/>
  <c r="C186" i="10"/>
  <c r="C192" i="10" s="1"/>
  <c r="C198" i="10" s="1"/>
  <c r="C204" i="10" s="1"/>
  <c r="C210" i="10" s="1"/>
  <c r="G185" i="10" l="1"/>
  <c r="F185" i="10"/>
  <c r="H185" i="10"/>
  <c r="D185" i="10"/>
  <c r="E185" i="10"/>
  <c r="C185" i="10"/>
  <c r="C191" i="10" s="1"/>
  <c r="C197" i="10" s="1"/>
  <c r="C203" i="10" s="1"/>
  <c r="C209" i="10" s="1"/>
  <c r="I192" i="10"/>
  <c r="H192" i="10" s="1"/>
  <c r="F190" i="10"/>
  <c r="F196" i="10" s="1"/>
  <c r="F202" i="10" s="1"/>
  <c r="E190" i="10"/>
  <c r="E196" i="10" s="1"/>
  <c r="E202" i="10" s="1"/>
  <c r="G190" i="10"/>
  <c r="G196" i="10" s="1"/>
  <c r="G202" i="10" s="1"/>
  <c r="D190" i="10"/>
  <c r="D196" i="10" s="1"/>
  <c r="D202" i="10" s="1"/>
  <c r="D208" i="10" s="1"/>
  <c r="D192" i="10" l="1"/>
  <c r="D198" i="10" s="1"/>
  <c r="D204" i="10" s="1"/>
  <c r="D210" i="10" s="1"/>
  <c r="G192" i="10"/>
  <c r="E192" i="10"/>
  <c r="F192" i="10"/>
  <c r="I198" i="10"/>
  <c r="G198" i="10" s="1"/>
  <c r="I191" i="10"/>
  <c r="F191" i="10" s="1"/>
  <c r="I208" i="10"/>
  <c r="H208" i="10" s="1"/>
  <c r="E208" i="10"/>
  <c r="G191" i="10"/>
  <c r="H198" i="10" l="1"/>
  <c r="D191" i="10"/>
  <c r="D197" i="10" s="1"/>
  <c r="D203" i="10" s="1"/>
  <c r="D209" i="10" s="1"/>
  <c r="E191" i="10"/>
  <c r="E198" i="10"/>
  <c r="E204" i="10" s="1"/>
  <c r="E210" i="10" s="1"/>
  <c r="F208" i="10"/>
  <c r="H191" i="10"/>
  <c r="F198" i="10"/>
  <c r="G208" i="10"/>
  <c r="I197" i="10" l="1"/>
  <c r="E197" i="10" s="1"/>
  <c r="E203" i="10" s="1"/>
  <c r="E209" i="10" s="1"/>
  <c r="F197" i="10" l="1"/>
  <c r="G197" i="10"/>
  <c r="G203" i="10" s="1"/>
  <c r="H197" i="10"/>
  <c r="H203" i="10" s="1"/>
  <c r="F203" i="10" l="1"/>
  <c r="I204" i="10"/>
  <c r="G204" i="10" l="1"/>
  <c r="H204" i="10"/>
  <c r="F204" i="10"/>
  <c r="F210" i="10" s="1"/>
  <c r="I209" i="10"/>
  <c r="G209" i="10" l="1"/>
  <c r="H209" i="10"/>
  <c r="F209" i="10"/>
  <c r="I210" i="10"/>
  <c r="H210" i="10" s="1"/>
  <c r="N177" i="10" s="1"/>
  <c r="G210" i="10" l="1"/>
  <c r="M177" i="10"/>
  <c r="L177" i="10" s="1"/>
  <c r="K177" i="10" s="1"/>
  <c r="J177" i="10" s="1"/>
  <c r="AA79" i="10" l="1"/>
  <c r="AB79" i="10" s="1"/>
  <c r="AA136" i="10"/>
  <c r="AB136" i="10" s="1"/>
  <c r="AA110" i="10"/>
  <c r="AB110" i="10" s="1"/>
  <c r="AA153" i="10"/>
  <c r="AB153" i="10" s="1"/>
  <c r="AA19" i="10"/>
  <c r="AB19" i="10" s="1"/>
  <c r="AA96" i="10"/>
  <c r="AB96" i="10" s="1"/>
  <c r="AA128" i="10"/>
  <c r="AB128" i="10" s="1"/>
  <c r="AA144" i="10"/>
  <c r="AB144" i="10" s="1"/>
  <c r="AA83" i="10"/>
  <c r="AB83" i="10" s="1"/>
  <c r="AA166" i="10"/>
  <c r="AB166" i="10" s="1"/>
  <c r="AA94" i="10"/>
  <c r="AB94" i="10" s="1"/>
  <c r="AA122" i="10"/>
  <c r="AB122" i="10" s="1"/>
  <c r="AA4" i="10"/>
  <c r="AB4" i="10" s="1"/>
  <c r="AA143" i="10"/>
  <c r="AB143" i="10" s="1"/>
  <c r="AA29" i="10"/>
  <c r="AB29" i="10" s="1"/>
  <c r="AA133" i="10"/>
  <c r="AB133" i="10" s="1"/>
  <c r="AA90" i="10"/>
  <c r="AB90" i="10" s="1"/>
  <c r="AA120" i="10"/>
  <c r="AB120" i="10" s="1"/>
  <c r="AA104" i="10"/>
  <c r="AB104" i="10" s="1"/>
  <c r="AA129" i="10"/>
  <c r="AB129" i="10" s="1"/>
  <c r="AA55" i="10"/>
  <c r="AB55" i="10" s="1"/>
  <c r="AA53" i="10"/>
  <c r="AB53" i="10" s="1"/>
  <c r="AA134" i="10"/>
  <c r="AB134" i="10" s="1"/>
  <c r="AA7" i="10"/>
  <c r="AB7" i="10" s="1"/>
  <c r="AA36" i="10"/>
  <c r="AB36" i="10" s="1"/>
  <c r="AA117" i="10"/>
  <c r="AB117" i="10" s="1"/>
  <c r="AA6" i="10"/>
  <c r="AB6" i="10" s="1"/>
  <c r="AA65" i="10"/>
  <c r="AB65" i="10" s="1"/>
  <c r="AA167" i="10"/>
  <c r="AB167" i="10" s="1"/>
  <c r="AA70" i="10"/>
  <c r="AB70" i="10" s="1"/>
  <c r="AA103" i="10"/>
  <c r="AB103" i="10" s="1"/>
  <c r="AA78" i="10"/>
  <c r="AB78" i="10" s="1"/>
  <c r="AA93" i="10"/>
  <c r="AB93" i="10" s="1"/>
  <c r="AA97" i="10"/>
  <c r="AB97" i="10" s="1"/>
  <c r="AA61" i="10"/>
  <c r="AB61" i="10" s="1"/>
  <c r="AA24" i="10"/>
  <c r="AB24" i="10" s="1"/>
  <c r="AA109" i="10"/>
  <c r="AB109" i="10" s="1"/>
  <c r="AA35" i="10"/>
  <c r="AB35" i="10" s="1"/>
  <c r="AA71" i="10"/>
  <c r="AB71" i="10" s="1"/>
  <c r="AA148" i="10"/>
  <c r="AB148" i="10" s="1"/>
  <c r="AA163" i="10"/>
  <c r="AB163" i="10" s="1"/>
  <c r="AA76" i="10"/>
  <c r="AB76" i="10" s="1"/>
  <c r="AA168" i="10"/>
  <c r="AB168" i="10" s="1"/>
  <c r="AA16" i="10"/>
  <c r="AB16" i="10" s="1"/>
  <c r="AA114" i="10"/>
  <c r="AB114" i="10" s="1"/>
  <c r="AA73" i="10"/>
  <c r="AB73" i="10" s="1"/>
  <c r="AA165" i="10"/>
  <c r="AB165" i="10" s="1"/>
  <c r="AA162" i="10"/>
  <c r="AB162" i="10" s="1"/>
  <c r="AA51" i="10"/>
  <c r="AB51" i="10" s="1"/>
  <c r="AA43" i="10"/>
  <c r="AB43" i="10" s="1"/>
  <c r="AA34" i="10"/>
  <c r="AB34" i="10" s="1"/>
  <c r="AA84" i="10"/>
  <c r="AB84" i="10" s="1"/>
  <c r="AA119" i="10"/>
  <c r="AB119" i="10" s="1"/>
  <c r="AA89" i="10"/>
  <c r="AB89" i="10" s="1"/>
  <c r="AA46" i="10"/>
  <c r="AB46" i="10" s="1"/>
  <c r="AA56" i="10"/>
  <c r="AB56" i="10" s="1"/>
  <c r="AA150" i="10"/>
  <c r="AB150" i="10" s="1"/>
  <c r="AA115" i="10"/>
  <c r="AB115" i="10" s="1"/>
  <c r="AA118" i="10"/>
  <c r="AB118" i="10" s="1"/>
  <c r="AA5" i="10"/>
  <c r="AB5" i="10" s="1"/>
  <c r="AA39" i="10"/>
  <c r="AB39" i="10" s="1"/>
  <c r="AA81" i="10"/>
  <c r="AB81" i="10" s="1"/>
  <c r="AA139" i="10"/>
  <c r="AB139" i="10" s="1"/>
  <c r="AA99" i="10"/>
  <c r="AB99" i="10" s="1"/>
  <c r="AA47" i="10"/>
  <c r="AB47" i="10" s="1"/>
  <c r="AA138" i="10"/>
  <c r="AB138" i="10" s="1"/>
  <c r="AA18" i="10"/>
  <c r="AB18" i="10" s="1"/>
  <c r="AA155" i="10"/>
  <c r="AB155" i="10" s="1"/>
  <c r="AA135" i="10"/>
  <c r="AB135" i="10" s="1"/>
  <c r="AA77" i="10"/>
  <c r="AB77" i="10" s="1"/>
  <c r="AA40" i="10"/>
  <c r="AB40" i="10" s="1"/>
  <c r="AA131" i="10"/>
  <c r="AB131" i="10" s="1"/>
  <c r="AA102" i="10"/>
  <c r="AB102" i="10" s="1"/>
  <c r="AA26" i="10"/>
  <c r="AB26" i="10" s="1"/>
  <c r="AA161" i="10"/>
  <c r="AB161" i="10" s="1"/>
  <c r="AA62" i="10"/>
  <c r="AB62" i="10" s="1"/>
  <c r="AA20" i="10"/>
  <c r="AB20" i="10" s="1"/>
  <c r="AA66" i="10"/>
  <c r="AB66" i="10" s="1"/>
  <c r="AA127" i="10"/>
  <c r="AB127" i="10" s="1"/>
  <c r="AA15" i="10"/>
  <c r="AB15" i="10" s="1"/>
  <c r="AA69" i="10"/>
  <c r="AB69" i="10" s="1"/>
  <c r="AA101" i="10"/>
  <c r="AB101" i="10" s="1"/>
  <c r="AA111" i="10"/>
  <c r="AB111" i="10" s="1"/>
  <c r="AA106" i="10"/>
  <c r="AB106" i="10" s="1"/>
  <c r="AA107" i="10"/>
  <c r="AB107" i="10" s="1"/>
  <c r="AA60" i="10"/>
  <c r="AB60" i="10" s="1"/>
  <c r="AA38" i="10"/>
  <c r="AB38" i="10" s="1"/>
  <c r="AA27" i="10"/>
  <c r="AB27" i="10" s="1"/>
  <c r="AA11" i="10"/>
  <c r="AB11" i="10" s="1"/>
  <c r="AA91" i="10"/>
  <c r="AB91" i="10" s="1"/>
  <c r="AA49" i="10"/>
  <c r="AB49" i="10" s="1"/>
  <c r="AA112" i="10"/>
  <c r="AB112" i="10" s="1"/>
  <c r="AA152" i="10"/>
  <c r="AB152" i="10" s="1"/>
  <c r="AA9" i="10"/>
  <c r="AB9" i="10" s="1"/>
  <c r="AA12" i="10"/>
  <c r="AB12" i="10" s="1"/>
  <c r="AA75" i="10"/>
  <c r="AB75" i="10" s="1"/>
  <c r="AA28" i="10"/>
  <c r="AB28" i="10" s="1"/>
  <c r="AA42" i="10"/>
  <c r="AB42" i="10" s="1"/>
  <c r="AA57" i="10"/>
  <c r="AB57" i="10" s="1"/>
  <c r="AA31" i="10"/>
  <c r="AB31" i="10" s="1"/>
  <c r="AA67" i="10"/>
  <c r="AB67" i="10" s="1"/>
  <c r="AA141" i="10"/>
  <c r="AB141" i="10" s="1"/>
  <c r="AA48" i="10"/>
  <c r="AB48" i="10" s="1"/>
  <c r="AA140" i="10"/>
  <c r="AB140" i="10" s="1"/>
  <c r="AA8" i="10"/>
  <c r="AB8" i="10" s="1"/>
  <c r="AB3" i="10"/>
  <c r="AA82" i="10"/>
  <c r="AB82" i="10" s="1"/>
  <c r="AA125" i="10"/>
  <c r="AB125" i="10" s="1"/>
  <c r="AA44" i="10"/>
  <c r="AB44" i="10" s="1"/>
  <c r="AA13" i="10"/>
  <c r="AB13" i="10" s="1"/>
  <c r="AA108" i="10"/>
  <c r="AB108" i="10" s="1"/>
  <c r="AA147" i="10"/>
  <c r="AB147" i="10" s="1"/>
  <c r="AA145" i="10"/>
  <c r="AB145" i="10" s="1"/>
  <c r="AA92" i="10"/>
  <c r="AB92" i="10" s="1"/>
  <c r="AA154" i="10"/>
  <c r="AB154" i="10" s="1"/>
  <c r="AA54" i="10"/>
  <c r="AB54" i="10" s="1"/>
  <c r="AA25" i="10"/>
  <c r="AB25" i="10" s="1"/>
  <c r="AA169" i="10"/>
  <c r="AB169" i="10" s="1"/>
  <c r="AA159" i="10"/>
  <c r="AB159" i="10" s="1"/>
  <c r="AA160" i="10"/>
  <c r="AB160" i="10" s="1"/>
  <c r="AA123" i="10"/>
  <c r="AB123" i="10" s="1"/>
  <c r="AA171" i="10"/>
  <c r="AB171" i="10" s="1"/>
  <c r="AA23" i="10"/>
  <c r="AB23" i="10" s="1"/>
  <c r="AA126" i="10"/>
  <c r="AB126" i="10" s="1"/>
  <c r="AA32" i="10"/>
  <c r="AB32" i="10" s="1"/>
  <c r="AA124" i="10"/>
  <c r="AB124" i="10" s="1"/>
  <c r="AA95" i="10"/>
  <c r="AB95" i="10" s="1"/>
  <c r="AA105" i="10"/>
  <c r="AB105" i="10" s="1"/>
  <c r="AA74" i="10"/>
  <c r="AB74" i="10" s="1"/>
  <c r="AA22" i="10"/>
  <c r="AB22" i="10" s="1"/>
  <c r="AA149" i="10"/>
  <c r="AB149" i="10" s="1"/>
  <c r="AA151" i="10"/>
  <c r="AB151" i="10" s="1"/>
  <c r="AA85" i="10"/>
  <c r="AB85" i="10" s="1"/>
  <c r="AA58" i="10"/>
  <c r="AB58" i="10" s="1"/>
  <c r="AA72" i="10"/>
  <c r="AB72" i="10" s="1"/>
  <c r="AA116" i="10"/>
  <c r="AB116" i="10" s="1"/>
  <c r="AA64" i="10"/>
  <c r="AB64" i="10" s="1"/>
  <c r="AA172" i="10"/>
  <c r="AB172" i="10" s="1"/>
  <c r="AA100" i="10"/>
  <c r="AB100" i="10" s="1"/>
  <c r="AA33" i="10"/>
  <c r="AB33" i="10" s="1"/>
  <c r="AA10" i="10"/>
  <c r="AB10" i="10" s="1"/>
  <c r="AA80" i="10"/>
  <c r="AB80" i="10" s="1"/>
  <c r="AA50" i="10"/>
  <c r="AB50" i="10" s="1"/>
  <c r="AA17" i="10"/>
  <c r="AB17" i="10" s="1"/>
  <c r="AA45" i="10"/>
  <c r="AB45" i="10" s="1"/>
  <c r="AA121" i="10"/>
  <c r="AB121" i="10" s="1"/>
  <c r="AA30" i="10"/>
  <c r="AB30" i="10" s="1"/>
  <c r="AA88" i="10"/>
  <c r="AB88" i="10" s="1"/>
  <c r="AA37" i="10"/>
  <c r="AB37" i="10" s="1"/>
  <c r="AA164" i="10"/>
  <c r="AB164" i="10" s="1"/>
  <c r="AA130" i="10"/>
  <c r="AB130" i="10" s="1"/>
  <c r="AA86" i="10"/>
  <c r="AB86" i="10" s="1"/>
  <c r="AA132" i="10"/>
  <c r="AB132" i="10" s="1"/>
  <c r="AA98" i="10"/>
  <c r="AB98" i="10" s="1"/>
  <c r="AA52" i="10"/>
  <c r="AB52" i="10" s="1"/>
  <c r="AA137" i="10"/>
  <c r="AB137" i="10" s="1"/>
  <c r="AA21" i="10"/>
  <c r="AB21" i="10" s="1"/>
  <c r="AA170" i="10"/>
  <c r="AB170" i="10" s="1"/>
  <c r="AA113" i="10"/>
  <c r="AB113" i="10" s="1"/>
  <c r="AA87" i="10"/>
  <c r="AB87" i="10" s="1"/>
  <c r="AA59" i="10"/>
  <c r="AB59" i="10" s="1"/>
  <c r="AA14" i="10"/>
  <c r="AB14" i="10" s="1"/>
  <c r="AA156" i="10"/>
  <c r="AB156" i="10" s="1"/>
  <c r="AA146" i="10"/>
  <c r="AB146" i="10" s="1"/>
  <c r="AA41" i="10"/>
  <c r="AB41" i="10" s="1"/>
  <c r="AA157" i="10"/>
  <c r="AB157" i="10" s="1"/>
  <c r="AA142" i="10"/>
  <c r="AB142" i="10" s="1"/>
  <c r="AA158" i="10"/>
  <c r="AB158" i="10" s="1"/>
  <c r="AA63" i="10"/>
  <c r="AB63" i="10" s="1"/>
  <c r="AA68" i="10"/>
  <c r="AB68" i="10" s="1"/>
  <c r="AD17" i="10" l="1"/>
  <c r="AF17" i="10"/>
  <c r="AG17" i="10" s="1"/>
  <c r="AH17" i="10" s="1"/>
  <c r="AD24" i="10"/>
  <c r="AF24" i="10"/>
  <c r="AG24" i="10" s="1"/>
  <c r="AH24" i="10" s="1"/>
  <c r="AD159" i="10"/>
  <c r="AF159" i="10"/>
  <c r="AG159" i="10" s="1"/>
  <c r="AH159" i="10" s="1"/>
  <c r="AF157" i="10"/>
  <c r="AG157" i="10" s="1"/>
  <c r="AH157" i="10" s="1"/>
  <c r="AD157" i="10"/>
  <c r="AD9" i="10"/>
  <c r="AF9" i="10"/>
  <c r="AG9" i="10" s="1"/>
  <c r="AH9" i="10" s="1"/>
  <c r="AF101" i="10"/>
  <c r="AG101" i="10" s="1"/>
  <c r="AH101" i="10" s="1"/>
  <c r="AD101" i="10"/>
  <c r="AF77" i="10"/>
  <c r="AG77" i="10" s="1"/>
  <c r="AH77" i="10" s="1"/>
  <c r="AD77" i="10"/>
  <c r="AF115" i="10"/>
  <c r="AG115" i="10" s="1"/>
  <c r="AH115" i="10" s="1"/>
  <c r="AD115" i="10"/>
  <c r="AF73" i="10"/>
  <c r="AG73" i="10" s="1"/>
  <c r="AH73" i="10" s="1"/>
  <c r="AD73" i="10"/>
  <c r="AD97" i="10"/>
  <c r="AF97" i="10"/>
  <c r="AG97" i="10" s="1"/>
  <c r="AH97" i="10" s="1"/>
  <c r="AF53" i="10"/>
  <c r="AG53" i="10" s="1"/>
  <c r="AH53" i="10" s="1"/>
  <c r="AD53" i="10"/>
  <c r="AD166" i="10"/>
  <c r="AF166" i="10"/>
  <c r="AG166" i="10" s="1"/>
  <c r="AH166" i="10" s="1"/>
  <c r="AF151" i="10"/>
  <c r="AG151" i="10" s="1"/>
  <c r="AH151" i="10" s="1"/>
  <c r="AD151" i="10"/>
  <c r="AD52" i="10"/>
  <c r="AF52" i="10"/>
  <c r="AG52" i="10" s="1"/>
  <c r="AH52" i="10" s="1"/>
  <c r="AD165" i="10"/>
  <c r="AF165" i="10"/>
  <c r="AG165" i="10" s="1"/>
  <c r="AH165" i="10" s="1"/>
  <c r="AD10" i="10"/>
  <c r="AF10" i="10"/>
  <c r="AG10" i="10" s="1"/>
  <c r="AH10" i="10" s="1"/>
  <c r="AD74" i="10"/>
  <c r="AF74" i="10"/>
  <c r="AG74" i="10" s="1"/>
  <c r="AH74" i="10" s="1"/>
  <c r="AF25" i="10"/>
  <c r="AG25" i="10" s="1"/>
  <c r="AH25" i="10" s="1"/>
  <c r="AD25" i="10"/>
  <c r="AF8" i="10"/>
  <c r="AG8" i="10" s="1"/>
  <c r="AH8" i="10" s="1"/>
  <c r="AD8" i="10"/>
  <c r="AF152" i="10"/>
  <c r="AG152" i="10" s="1"/>
  <c r="AH152" i="10" s="1"/>
  <c r="AD152" i="10"/>
  <c r="AF69" i="10"/>
  <c r="AG69" i="10" s="1"/>
  <c r="AH69" i="10" s="1"/>
  <c r="AD69" i="10"/>
  <c r="AF135" i="10"/>
  <c r="AG135" i="10" s="1"/>
  <c r="AH135" i="10" s="1"/>
  <c r="AD135" i="10"/>
  <c r="AD150" i="10"/>
  <c r="AF150" i="10"/>
  <c r="AG150" i="10" s="1"/>
  <c r="AH150" i="10" s="1"/>
  <c r="AF114" i="10"/>
  <c r="AG114" i="10" s="1"/>
  <c r="AH114" i="10" s="1"/>
  <c r="AD114" i="10"/>
  <c r="AD93" i="10"/>
  <c r="AF93" i="10"/>
  <c r="AG93" i="10" s="1"/>
  <c r="AH93" i="10" s="1"/>
  <c r="AD55" i="10"/>
  <c r="AF55" i="10"/>
  <c r="AG55" i="10" s="1"/>
  <c r="AH55" i="10" s="1"/>
  <c r="AF83" i="10"/>
  <c r="AG83" i="10" s="1"/>
  <c r="AH83" i="10" s="1"/>
  <c r="AD83" i="10"/>
  <c r="AD160" i="10"/>
  <c r="AF160" i="10"/>
  <c r="AG160" i="10" s="1"/>
  <c r="AH160" i="10" s="1"/>
  <c r="AF131" i="10"/>
  <c r="AG131" i="10" s="1"/>
  <c r="AH131" i="10" s="1"/>
  <c r="AD131" i="10"/>
  <c r="AD94" i="10"/>
  <c r="AF94" i="10"/>
  <c r="AG94" i="10" s="1"/>
  <c r="AH94" i="10" s="1"/>
  <c r="AD146" i="10"/>
  <c r="AF146" i="10"/>
  <c r="AG146" i="10" s="1"/>
  <c r="AH146" i="10" s="1"/>
  <c r="AF105" i="10"/>
  <c r="AG105" i="10" s="1"/>
  <c r="AH105" i="10" s="1"/>
  <c r="AD105" i="10"/>
  <c r="AF54" i="10"/>
  <c r="AG54" i="10" s="1"/>
  <c r="AH54" i="10" s="1"/>
  <c r="AD54" i="10"/>
  <c r="AD140" i="10"/>
  <c r="AF140" i="10"/>
  <c r="AG140" i="10" s="1"/>
  <c r="AH140" i="10" s="1"/>
  <c r="AF112" i="10"/>
  <c r="AG112" i="10" s="1"/>
  <c r="AH112" i="10" s="1"/>
  <c r="AD112" i="10"/>
  <c r="AD15" i="10"/>
  <c r="AF15" i="10"/>
  <c r="AG15" i="10" s="1"/>
  <c r="AH15" i="10" s="1"/>
  <c r="AF155" i="10"/>
  <c r="AG155" i="10" s="1"/>
  <c r="AH155" i="10" s="1"/>
  <c r="AD155" i="10"/>
  <c r="AD56" i="10"/>
  <c r="AF56" i="10"/>
  <c r="AG56" i="10" s="1"/>
  <c r="AH56" i="10" s="1"/>
  <c r="AD16" i="10"/>
  <c r="AF16" i="10"/>
  <c r="AG16" i="10" s="1"/>
  <c r="AH16" i="10" s="1"/>
  <c r="AD78" i="10"/>
  <c r="AF78" i="10"/>
  <c r="AG78" i="10" s="1"/>
  <c r="AH78" i="10" s="1"/>
  <c r="AD129" i="10"/>
  <c r="AF129" i="10"/>
  <c r="AG129" i="10" s="1"/>
  <c r="AH129" i="10" s="1"/>
  <c r="AD144" i="10"/>
  <c r="AF144" i="10"/>
  <c r="AG144" i="10" s="1"/>
  <c r="AH144" i="10" s="1"/>
  <c r="AF137" i="10"/>
  <c r="AG137" i="10" s="1"/>
  <c r="AH137" i="10" s="1"/>
  <c r="AD137" i="10"/>
  <c r="AF106" i="10"/>
  <c r="AG106" i="10" s="1"/>
  <c r="AH106" i="10" s="1"/>
  <c r="AD106" i="10"/>
  <c r="AD50" i="10"/>
  <c r="AF50" i="10"/>
  <c r="AG50" i="10" s="1"/>
  <c r="AH50" i="10" s="1"/>
  <c r="AF111" i="10"/>
  <c r="AG111" i="10" s="1"/>
  <c r="AH111" i="10" s="1"/>
  <c r="AD111" i="10"/>
  <c r="AF22" i="10"/>
  <c r="AG22" i="10" s="1"/>
  <c r="AH22" i="10" s="1"/>
  <c r="AD22" i="10"/>
  <c r="AF95" i="10"/>
  <c r="AG95" i="10" s="1"/>
  <c r="AH95" i="10" s="1"/>
  <c r="AD95" i="10"/>
  <c r="AF128" i="10"/>
  <c r="AG128" i="10" s="1"/>
  <c r="AH128" i="10" s="1"/>
  <c r="AD128" i="10"/>
  <c r="AF162" i="10"/>
  <c r="AG162" i="10" s="1"/>
  <c r="AH162" i="10" s="1"/>
  <c r="AD162" i="10"/>
  <c r="AD40" i="10"/>
  <c r="AF40" i="10"/>
  <c r="AG40" i="10" s="1"/>
  <c r="AH40" i="10" s="1"/>
  <c r="AF98" i="10"/>
  <c r="AG98" i="10" s="1"/>
  <c r="AH98" i="10" s="1"/>
  <c r="AD98" i="10"/>
  <c r="AF33" i="10"/>
  <c r="AG33" i="10" s="1"/>
  <c r="AH33" i="10" s="1"/>
  <c r="AD33" i="10"/>
  <c r="AD127" i="10"/>
  <c r="AF127" i="10"/>
  <c r="AG127" i="10" s="1"/>
  <c r="AH127" i="10" s="1"/>
  <c r="AD91" i="10"/>
  <c r="AF91" i="10"/>
  <c r="AG91" i="10" s="1"/>
  <c r="AH91" i="10" s="1"/>
  <c r="AD120" i="10"/>
  <c r="AF120" i="10"/>
  <c r="AG120" i="10" s="1"/>
  <c r="AH120" i="10" s="1"/>
  <c r="AD96" i="10"/>
  <c r="AF96" i="10"/>
  <c r="AG96" i="10" s="1"/>
  <c r="AH96" i="10" s="1"/>
  <c r="AD7" i="10"/>
  <c r="AF7" i="10"/>
  <c r="AG7" i="10" s="1"/>
  <c r="AH7" i="10" s="1"/>
  <c r="AD12" i="10"/>
  <c r="AF12" i="10"/>
  <c r="AG12" i="10" s="1"/>
  <c r="AH12" i="10" s="1"/>
  <c r="AD169" i="10"/>
  <c r="AF169" i="10"/>
  <c r="AG169" i="10" s="1"/>
  <c r="AH169" i="10" s="1"/>
  <c r="AD100" i="10"/>
  <c r="AF100" i="10"/>
  <c r="AG100" i="10" s="1"/>
  <c r="AH100" i="10" s="1"/>
  <c r="AD103" i="10"/>
  <c r="AF103" i="10"/>
  <c r="AG103" i="10" s="1"/>
  <c r="AH103" i="10" s="1"/>
  <c r="AF124" i="10"/>
  <c r="AG124" i="10" s="1"/>
  <c r="AH124" i="10" s="1"/>
  <c r="AD124" i="10"/>
  <c r="AD66" i="10"/>
  <c r="AF66" i="10"/>
  <c r="AG66" i="10" s="1"/>
  <c r="AH66" i="10" s="1"/>
  <c r="AF64" i="10"/>
  <c r="AG64" i="10" s="1"/>
  <c r="AH64" i="10" s="1"/>
  <c r="AD64" i="10"/>
  <c r="AF67" i="10"/>
  <c r="AG67" i="10" s="1"/>
  <c r="AH67" i="10" s="1"/>
  <c r="AD67" i="10"/>
  <c r="AD11" i="10"/>
  <c r="AF11" i="10"/>
  <c r="AG11" i="10" s="1"/>
  <c r="AH11" i="10" s="1"/>
  <c r="AD20" i="10"/>
  <c r="AF20" i="10"/>
  <c r="AG20" i="10" s="1"/>
  <c r="AH20" i="10" s="1"/>
  <c r="AD47" i="10"/>
  <c r="AF47" i="10"/>
  <c r="AG47" i="10" s="1"/>
  <c r="AH47" i="10" s="1"/>
  <c r="AD119" i="10"/>
  <c r="AF119" i="10"/>
  <c r="AG119" i="10" s="1"/>
  <c r="AH119" i="10" s="1"/>
  <c r="AD163" i="10"/>
  <c r="AF163" i="10"/>
  <c r="AG163" i="10" s="1"/>
  <c r="AH163" i="10" s="1"/>
  <c r="AF167" i="10"/>
  <c r="AG167" i="10" s="1"/>
  <c r="AH167" i="10" s="1"/>
  <c r="AD167" i="10"/>
  <c r="AD90" i="10"/>
  <c r="AF90" i="10"/>
  <c r="AG90" i="10" s="1"/>
  <c r="AH90" i="10" s="1"/>
  <c r="AD19" i="10"/>
  <c r="AF19" i="10"/>
  <c r="AG19" i="10" s="1"/>
  <c r="AH19" i="10" s="1"/>
  <c r="AD122" i="10"/>
  <c r="AF122" i="10"/>
  <c r="AG122" i="10" s="1"/>
  <c r="AH122" i="10" s="1"/>
  <c r="AF82" i="10"/>
  <c r="AG82" i="10" s="1"/>
  <c r="AH82" i="10" s="1"/>
  <c r="AD82" i="10"/>
  <c r="AF3" i="10"/>
  <c r="AG3" i="10" s="1"/>
  <c r="AH3" i="10" s="1"/>
  <c r="AD3" i="10"/>
  <c r="AF130" i="10"/>
  <c r="AG130" i="10" s="1"/>
  <c r="AH130" i="10" s="1"/>
  <c r="AD130" i="10"/>
  <c r="AD104" i="10"/>
  <c r="AF104" i="10"/>
  <c r="AG104" i="10" s="1"/>
  <c r="AH104" i="10" s="1"/>
  <c r="AD92" i="10"/>
  <c r="AF92" i="10"/>
  <c r="AG92" i="10" s="1"/>
  <c r="AH92" i="10" s="1"/>
  <c r="AF89" i="10"/>
  <c r="AG89" i="10" s="1"/>
  <c r="AH89" i="10" s="1"/>
  <c r="AD89" i="10"/>
  <c r="AD37" i="10"/>
  <c r="AF37" i="10"/>
  <c r="AG37" i="10" s="1"/>
  <c r="AH37" i="10" s="1"/>
  <c r="AD116" i="10"/>
  <c r="AF116" i="10"/>
  <c r="AG116" i="10" s="1"/>
  <c r="AH116" i="10" s="1"/>
  <c r="AD27" i="10"/>
  <c r="AF27" i="10"/>
  <c r="AG27" i="10" s="1"/>
  <c r="AH27" i="10" s="1"/>
  <c r="AF99" i="10"/>
  <c r="AG99" i="10" s="1"/>
  <c r="AH99" i="10" s="1"/>
  <c r="AD99" i="10"/>
  <c r="AD148" i="10"/>
  <c r="AF148" i="10"/>
  <c r="AG148" i="10" s="1"/>
  <c r="AH148" i="10" s="1"/>
  <c r="AD65" i="10"/>
  <c r="AF65" i="10"/>
  <c r="AG65" i="10" s="1"/>
  <c r="AH65" i="10" s="1"/>
  <c r="AF133" i="10"/>
  <c r="AG133" i="10" s="1"/>
  <c r="AH133" i="10" s="1"/>
  <c r="AD133" i="10"/>
  <c r="AD153" i="10"/>
  <c r="AF153" i="10"/>
  <c r="AG153" i="10" s="1"/>
  <c r="AH153" i="10" s="1"/>
  <c r="AD75" i="10"/>
  <c r="AF75" i="10"/>
  <c r="AG75" i="10" s="1"/>
  <c r="AH75" i="10" s="1"/>
  <c r="AD149" i="10"/>
  <c r="AF149" i="10"/>
  <c r="AG149" i="10" s="1"/>
  <c r="AH149" i="10" s="1"/>
  <c r="AD118" i="10"/>
  <c r="AF118" i="10"/>
  <c r="AG118" i="10" s="1"/>
  <c r="AH118" i="10" s="1"/>
  <c r="AD80" i="10"/>
  <c r="AF80" i="10"/>
  <c r="AG80" i="10" s="1"/>
  <c r="AH80" i="10" s="1"/>
  <c r="AD86" i="10"/>
  <c r="AF86" i="10"/>
  <c r="AG86" i="10" s="1"/>
  <c r="AH86" i="10" s="1"/>
  <c r="AD154" i="10"/>
  <c r="AF154" i="10"/>
  <c r="AG154" i="10" s="1"/>
  <c r="AH154" i="10" s="1"/>
  <c r="AF18" i="10"/>
  <c r="AG18" i="10" s="1"/>
  <c r="AH18" i="10" s="1"/>
  <c r="AD18" i="10"/>
  <c r="AF14" i="10"/>
  <c r="AG14" i="10" s="1"/>
  <c r="AH14" i="10" s="1"/>
  <c r="AD14" i="10"/>
  <c r="AF141" i="10"/>
  <c r="AG141" i="10" s="1"/>
  <c r="AH141" i="10" s="1"/>
  <c r="AD141" i="10"/>
  <c r="AD70" i="10"/>
  <c r="AF70" i="10"/>
  <c r="AG70" i="10" s="1"/>
  <c r="AH70" i="10" s="1"/>
  <c r="AF145" i="10"/>
  <c r="AG145" i="10" s="1"/>
  <c r="AH145" i="10" s="1"/>
  <c r="AD145" i="10"/>
  <c r="AD147" i="10"/>
  <c r="AF147" i="10"/>
  <c r="AG147" i="10" s="1"/>
  <c r="AH147" i="10" s="1"/>
  <c r="AD62" i="10"/>
  <c r="AF62" i="10"/>
  <c r="AG62" i="10" s="1"/>
  <c r="AH62" i="10" s="1"/>
  <c r="AF84" i="10"/>
  <c r="AG84" i="10" s="1"/>
  <c r="AH84" i="10" s="1"/>
  <c r="AD84" i="10"/>
  <c r="AF113" i="10"/>
  <c r="AG113" i="10" s="1"/>
  <c r="AH113" i="10" s="1"/>
  <c r="AD113" i="10"/>
  <c r="AF30" i="10"/>
  <c r="AG30" i="10" s="1"/>
  <c r="AH30" i="10" s="1"/>
  <c r="AD30" i="10"/>
  <c r="AF72" i="10"/>
  <c r="AG72" i="10" s="1"/>
  <c r="AH72" i="10" s="1"/>
  <c r="AD72" i="10"/>
  <c r="AF23" i="10"/>
  <c r="AG23" i="10" s="1"/>
  <c r="AH23" i="10" s="1"/>
  <c r="AD23" i="10"/>
  <c r="AD108" i="10"/>
  <c r="AF108" i="10"/>
  <c r="AG108" i="10" s="1"/>
  <c r="AH108" i="10" s="1"/>
  <c r="AF57" i="10"/>
  <c r="AG57" i="10" s="1"/>
  <c r="AH57" i="10" s="1"/>
  <c r="AD57" i="10"/>
  <c r="AD38" i="10"/>
  <c r="AF38" i="10"/>
  <c r="AG38" i="10" s="1"/>
  <c r="AH38" i="10" s="1"/>
  <c r="AD161" i="10"/>
  <c r="AF161" i="10"/>
  <c r="AG161" i="10" s="1"/>
  <c r="AH161" i="10" s="1"/>
  <c r="AD139" i="10"/>
  <c r="AF139" i="10"/>
  <c r="AG139" i="10" s="1"/>
  <c r="AH139" i="10" s="1"/>
  <c r="AF34" i="10"/>
  <c r="AG34" i="10" s="1"/>
  <c r="AH34" i="10" s="1"/>
  <c r="AD34" i="10"/>
  <c r="AF71" i="10"/>
  <c r="AG71" i="10" s="1"/>
  <c r="AH71" i="10" s="1"/>
  <c r="AD71" i="10"/>
  <c r="AD6" i="10"/>
  <c r="AF6" i="10"/>
  <c r="AG6" i="10" s="1"/>
  <c r="AH6" i="10" s="1"/>
  <c r="AD29" i="10"/>
  <c r="AF29" i="10"/>
  <c r="AG29" i="10" s="1"/>
  <c r="AH29" i="10" s="1"/>
  <c r="AD110" i="10"/>
  <c r="AF110" i="10"/>
  <c r="AG110" i="10" s="1"/>
  <c r="AH110" i="10" s="1"/>
  <c r="AF158" i="10"/>
  <c r="AG158" i="10" s="1"/>
  <c r="AH158" i="10" s="1"/>
  <c r="AD158" i="10"/>
  <c r="AF5" i="10"/>
  <c r="AG5" i="10" s="1"/>
  <c r="AH5" i="10" s="1"/>
  <c r="AD5" i="10"/>
  <c r="AD134" i="10"/>
  <c r="AF134" i="10"/>
  <c r="AG134" i="10" s="1"/>
  <c r="AH134" i="10" s="1"/>
  <c r="AF132" i="10"/>
  <c r="AG132" i="10" s="1"/>
  <c r="AH132" i="10" s="1"/>
  <c r="AD132" i="10"/>
  <c r="AF48" i="10"/>
  <c r="AG48" i="10" s="1"/>
  <c r="AH48" i="10" s="1"/>
  <c r="AD48" i="10"/>
  <c r="AF46" i="10"/>
  <c r="AG46" i="10" s="1"/>
  <c r="AH46" i="10" s="1"/>
  <c r="AD46" i="10"/>
  <c r="AF164" i="10"/>
  <c r="AG164" i="10" s="1"/>
  <c r="AH164" i="10" s="1"/>
  <c r="AD164" i="10"/>
  <c r="AF138" i="10"/>
  <c r="AG138" i="10" s="1"/>
  <c r="AH138" i="10" s="1"/>
  <c r="AD138" i="10"/>
  <c r="AF59" i="10"/>
  <c r="AG59" i="10" s="1"/>
  <c r="AH59" i="10" s="1"/>
  <c r="AD59" i="10"/>
  <c r="AD88" i="10"/>
  <c r="AF88" i="10"/>
  <c r="AG88" i="10" s="1"/>
  <c r="AH88" i="10" s="1"/>
  <c r="AD31" i="10"/>
  <c r="AF31" i="10"/>
  <c r="AG31" i="10" s="1"/>
  <c r="AH31" i="10" s="1"/>
  <c r="AF121" i="10"/>
  <c r="AG121" i="10" s="1"/>
  <c r="AH121" i="10" s="1"/>
  <c r="AD121" i="10"/>
  <c r="AD13" i="10"/>
  <c r="AF13" i="10"/>
  <c r="AG13" i="10" s="1"/>
  <c r="AH13" i="10" s="1"/>
  <c r="AF60" i="10"/>
  <c r="AG60" i="10" s="1"/>
  <c r="AH60" i="10" s="1"/>
  <c r="AD60" i="10"/>
  <c r="AF26" i="10"/>
  <c r="AG26" i="10" s="1"/>
  <c r="AH26" i="10" s="1"/>
  <c r="AD26" i="10"/>
  <c r="AD81" i="10"/>
  <c r="AF81" i="10"/>
  <c r="AG81" i="10" s="1"/>
  <c r="AH81" i="10" s="1"/>
  <c r="AF43" i="10"/>
  <c r="AG43" i="10" s="1"/>
  <c r="AH43" i="10" s="1"/>
  <c r="AD43" i="10"/>
  <c r="AF35" i="10"/>
  <c r="AG35" i="10" s="1"/>
  <c r="AH35" i="10" s="1"/>
  <c r="AD35" i="10"/>
  <c r="AD117" i="10"/>
  <c r="AF117" i="10"/>
  <c r="AG117" i="10" s="1"/>
  <c r="AH117" i="10" s="1"/>
  <c r="AD143" i="10"/>
  <c r="AF143" i="10"/>
  <c r="AG143" i="10" s="1"/>
  <c r="AH143" i="10" s="1"/>
  <c r="AF136" i="10"/>
  <c r="AG136" i="10" s="1"/>
  <c r="AH136" i="10" s="1"/>
  <c r="AD136" i="10"/>
  <c r="AF125" i="10"/>
  <c r="AG125" i="10" s="1"/>
  <c r="AH125" i="10" s="1"/>
  <c r="AD125" i="10"/>
  <c r="AF142" i="10"/>
  <c r="AG142" i="10" s="1"/>
  <c r="AH142" i="10" s="1"/>
  <c r="AD142" i="10"/>
  <c r="AD61" i="10"/>
  <c r="AF61" i="10"/>
  <c r="AG61" i="10" s="1"/>
  <c r="AH61" i="10" s="1"/>
  <c r="AD41" i="10"/>
  <c r="AF41" i="10"/>
  <c r="AG41" i="10" s="1"/>
  <c r="AH41" i="10" s="1"/>
  <c r="AD156" i="10"/>
  <c r="AF156" i="10"/>
  <c r="AG156" i="10" s="1"/>
  <c r="AH156" i="10" s="1"/>
  <c r="AF49" i="10"/>
  <c r="AG49" i="10" s="1"/>
  <c r="AH49" i="10" s="1"/>
  <c r="AD49" i="10"/>
  <c r="AD168" i="10"/>
  <c r="AF168" i="10"/>
  <c r="AG168" i="10" s="1"/>
  <c r="AH168" i="10" s="1"/>
  <c r="AF172" i="10"/>
  <c r="AG172" i="10" s="1"/>
  <c r="AH172" i="10" s="1"/>
  <c r="AD172" i="10"/>
  <c r="AD76" i="10"/>
  <c r="AF76" i="10"/>
  <c r="AG76" i="10" s="1"/>
  <c r="AH76" i="10" s="1"/>
  <c r="AF32" i="10"/>
  <c r="AG32" i="10" s="1"/>
  <c r="AH32" i="10" s="1"/>
  <c r="AD32" i="10"/>
  <c r="AF87" i="10"/>
  <c r="AG87" i="10" s="1"/>
  <c r="AH87" i="10" s="1"/>
  <c r="AD87" i="10"/>
  <c r="AF126" i="10"/>
  <c r="AG126" i="10" s="1"/>
  <c r="AH126" i="10" s="1"/>
  <c r="AD126" i="10"/>
  <c r="AF68" i="10"/>
  <c r="AG68" i="10" s="1"/>
  <c r="AH68" i="10" s="1"/>
  <c r="AD68" i="10"/>
  <c r="AD170" i="10"/>
  <c r="AF170" i="10"/>
  <c r="AG170" i="10" s="1"/>
  <c r="AH170" i="10" s="1"/>
  <c r="AF58" i="10"/>
  <c r="AG58" i="10" s="1"/>
  <c r="AH58" i="10" s="1"/>
  <c r="AD58" i="10"/>
  <c r="AD171" i="10"/>
  <c r="AF171" i="10"/>
  <c r="AG171" i="10" s="1"/>
  <c r="AH171" i="10" s="1"/>
  <c r="AF42" i="10"/>
  <c r="AG42" i="10" s="1"/>
  <c r="AH42" i="10" s="1"/>
  <c r="AD42" i="10"/>
  <c r="AD63" i="10"/>
  <c r="AF63" i="10"/>
  <c r="AG63" i="10" s="1"/>
  <c r="AH63" i="10" s="1"/>
  <c r="AD21" i="10"/>
  <c r="AF21" i="10"/>
  <c r="AG21" i="10" s="1"/>
  <c r="AH21" i="10" s="1"/>
  <c r="AD45" i="10"/>
  <c r="AF45" i="10"/>
  <c r="AG45" i="10" s="1"/>
  <c r="AH45" i="10" s="1"/>
  <c r="AD85" i="10"/>
  <c r="AF85" i="10"/>
  <c r="AG85" i="10" s="1"/>
  <c r="AH85" i="10" s="1"/>
  <c r="AD123" i="10"/>
  <c r="AF123" i="10"/>
  <c r="AG123" i="10" s="1"/>
  <c r="AH123" i="10" s="1"/>
  <c r="AD44" i="10"/>
  <c r="AF44" i="10"/>
  <c r="AG44" i="10" s="1"/>
  <c r="AH44" i="10" s="1"/>
  <c r="AD28" i="10"/>
  <c r="AF28" i="10"/>
  <c r="AG28" i="10" s="1"/>
  <c r="AH28" i="10" s="1"/>
  <c r="AD107" i="10"/>
  <c r="AF107" i="10"/>
  <c r="AG107" i="10" s="1"/>
  <c r="AH107" i="10" s="1"/>
  <c r="AD102" i="10"/>
  <c r="AF102" i="10"/>
  <c r="AG102" i="10" s="1"/>
  <c r="AH102" i="10" s="1"/>
  <c r="AF39" i="10"/>
  <c r="AG39" i="10" s="1"/>
  <c r="AH39" i="10" s="1"/>
  <c r="AD39" i="10"/>
  <c r="AD51" i="10"/>
  <c r="AF51" i="10"/>
  <c r="AG51" i="10" s="1"/>
  <c r="AH51" i="10" s="1"/>
  <c r="AD109" i="10"/>
  <c r="AF109" i="10"/>
  <c r="AG109" i="10" s="1"/>
  <c r="AH109" i="10" s="1"/>
  <c r="AD36" i="10"/>
  <c r="AF36" i="10"/>
  <c r="AG36" i="10" s="1"/>
  <c r="AH36" i="10" s="1"/>
  <c r="AF4" i="10"/>
  <c r="AG4" i="10" s="1"/>
  <c r="AH4" i="10" s="1"/>
  <c r="AD4" i="10"/>
  <c r="AF79" i="10"/>
  <c r="AG79" i="10" s="1"/>
  <c r="AH79" i="10" s="1"/>
  <c r="AD79" i="10"/>
  <c r="AD173" i="10" l="1"/>
  <c r="J180" i="10" s="1"/>
  <c r="AH173" i="10"/>
  <c r="R180" i="10" s="1"/>
  <c r="P180" i="10" l="1"/>
  <c r="M180" i="10"/>
  <c r="L180" i="10"/>
  <c r="Q180" i="10"/>
</calcChain>
</file>

<file path=xl/sharedStrings.xml><?xml version="1.0" encoding="utf-8"?>
<sst xmlns="http://schemas.openxmlformats.org/spreadsheetml/2006/main" count="410" uniqueCount="165">
  <si>
    <t>Date</t>
  </si>
  <si>
    <t>Price</t>
  </si>
  <si>
    <t>Open</t>
  </si>
  <si>
    <t>High</t>
  </si>
  <si>
    <t>Low</t>
  </si>
  <si>
    <t>Vol.</t>
  </si>
  <si>
    <t>Change %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</si>
  <si>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</si>
  <si>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</si>
  <si>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</si>
  <si>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</si>
  <si>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</si>
  <si>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</si>
  <si>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</si>
  <si>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</si>
  <si>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</si>
  <si>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</si>
  <si>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</si>
  <si>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</si>
  <si>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</si>
  <si>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</si>
  <si>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</si>
  <si>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</si>
  <si>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</si>
  <si>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</si>
  <si>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</si>
  <si>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</si>
  <si>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</si>
  <si>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</si>
  <si>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</si>
  <si>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</si>
  <si>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</si>
  <si>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</si>
  <si>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</si>
  <si>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</si>
  <si>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</si>
  <si>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</si>
  <si>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</si>
  <si>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</si>
  <si>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</si>
  <si>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</si>
  <si>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</si>
  <si>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</si>
  <si>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</si>
  <si>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</si>
  <si>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x1</t>
  </si>
  <si>
    <t>x2</t>
  </si>
  <si>
    <t>x3</t>
  </si>
  <si>
    <t>x4</t>
  </si>
  <si>
    <t xml:space="preserve">y </t>
  </si>
  <si>
    <t>x1^2</t>
  </si>
  <si>
    <t>x2^2</t>
  </si>
  <si>
    <t>x3^2</t>
  </si>
  <si>
    <t>x4^2</t>
  </si>
  <si>
    <t>y^2</t>
  </si>
  <si>
    <t>x1.x2</t>
  </si>
  <si>
    <t>x1.x3</t>
  </si>
  <si>
    <t>x1.x4</t>
  </si>
  <si>
    <t>x2.x3</t>
  </si>
  <si>
    <t>x2.x4</t>
  </si>
  <si>
    <t>x3.x4</t>
  </si>
  <si>
    <t>x1.y</t>
  </si>
  <si>
    <t>x2.y</t>
  </si>
  <si>
    <t xml:space="preserve">x3.y </t>
  </si>
  <si>
    <t>x4.y</t>
  </si>
  <si>
    <t>jumlah</t>
  </si>
  <si>
    <t>α</t>
  </si>
  <si>
    <t>β1</t>
  </si>
  <si>
    <t>β2</t>
  </si>
  <si>
    <t>β3</t>
  </si>
  <si>
    <t>β4</t>
  </si>
  <si>
    <t>ypred</t>
  </si>
  <si>
    <t>y- ypred</t>
  </si>
  <si>
    <t>y-ymean</t>
  </si>
  <si>
    <t>y mean</t>
  </si>
  <si>
    <t>(y-ypred)^2</t>
  </si>
  <si>
    <t>(y-ypred)/y</t>
  </si>
  <si>
    <t>abs((y-ypred)/y)</t>
  </si>
  <si>
    <t>abs((y-ypred)/y)*100</t>
  </si>
  <si>
    <t>RSS</t>
  </si>
  <si>
    <t>TSS</t>
  </si>
  <si>
    <t>RSE</t>
  </si>
  <si>
    <t>R^2</t>
  </si>
  <si>
    <t>R</t>
  </si>
  <si>
    <t>R^2adj</t>
  </si>
  <si>
    <t>MSE</t>
  </si>
  <si>
    <t>RMSE</t>
  </si>
  <si>
    <t>MAPE</t>
  </si>
  <si>
    <t>(y-ymean)^2</t>
  </si>
  <si>
    <t>ELIMINASI GAUSS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</si>
  <si>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</si>
  <si>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</si>
  <si>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</si>
  <si>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</si>
  <si>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</si>
  <si>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</si>
  <si>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</si>
  <si>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</si>
  <si>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</si>
  <si>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</si>
  <si>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</si>
  <si>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</si>
  <si>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</si>
  <si>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</si>
  <si>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</si>
  <si>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</si>
  <si>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</si>
  <si>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</si>
  <si>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</si>
  <si>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</si>
  <si>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</si>
  <si>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</si>
  <si>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</si>
  <si>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</si>
  <si>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</si>
  <si>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</si>
  <si>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</si>
  <si>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</si>
  <si>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</si>
  <si>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</si>
  <si>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</si>
  <si>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</si>
  <si>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</si>
  <si>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</si>
  <si>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</si>
  <si>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</si>
  <si>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</si>
  <si>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</si>
  <si>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</si>
  <si>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</si>
  <si>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</si>
  <si>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</si>
  <si>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</si>
  <si>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</si>
  <si>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</si>
  <si>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</si>
  <si>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</si>
  <si>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</si>
  <si>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</si>
  <si>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</si>
  <si>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</si>
  <si>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</si>
  <si>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</si>
  <si>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</si>
  <si>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</si>
  <si>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</si>
  <si>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</si>
  <si>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</si>
  <si>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</si>
  <si>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</si>
  <si>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</si>
  <si>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</si>
  <si>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</si>
  <si>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</si>
  <si>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</si>
  <si>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</si>
  <si>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</si>
  <si>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X3</t>
  </si>
  <si>
    <t>X4</t>
  </si>
  <si>
    <t xml:space="preserve">X1 </t>
  </si>
  <si>
    <t xml:space="preserve">X2 </t>
  </si>
  <si>
    <t>Y PREDIKSI</t>
  </si>
  <si>
    <t xml:space="preserve">HASIL </t>
  </si>
  <si>
    <t>Y AKTUAL</t>
  </si>
  <si>
    <t>PERKIRAAN HARGA CLOSE(PENUTUPAN) EURUSD SENIN 14 OKT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</si>
</sst>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0000000"/>
    <numFmt numFmtId="165" formatCode="0.00000000000000000000"/>
    <numFmt numFmtId="166" formatCode="0.0000000000000000000"/>
    <numFmt numFmtId="167" formatCode="[$-23809]mm/dd/yyyy;@"/>
    <numFmt numFmtId="168" formatCode="0.0000"/>
    <numFmt numFmtId="169" formatCode="0.00000000000000"/>
    <numFmt numFmtId="170" formatCode="0.00000000000000000"/>
    <numFmt numFmtId="171" formatCode="0.000000000000000"/>
    <numFmt numFmtId="172" formatCode="0.00000"/>
    <numFmt numFmtId="173" formatCode="0.000000000"/>
    <numFmt numFmtId="174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70" fontId="0" fillId="0" borderId="14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1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72" fontId="0" fillId="0" borderId="1" xfId="0" applyNumberFormat="1" applyBorder="1" applyAlignment="1">
      <alignment horizontal="center"/>
    </xf>
    <xf numFmtId="172" fontId="0" fillId="0" borderId="3" xfId="0" applyNumberFormat="1" applyBorder="1" applyAlignment="1">
      <alignment horizontal="center"/>
    </xf>
    <xf numFmtId="172" fontId="0" fillId="0" borderId="5" xfId="0" applyNumberFormat="1" applyBorder="1" applyAlignment="1">
      <alignment horizontal="center"/>
    </xf>
    <xf numFmtId="172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73" fontId="0" fillId="0" borderId="5" xfId="0" applyNumberForma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72" fontId="0" fillId="0" borderId="2" xfId="0" applyNumberForma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172" fontId="0" fillId="0" borderId="8" xfId="0" applyNumberFormat="1" applyBorder="1" applyAlignment="1">
      <alignment horizontal="center"/>
    </xf>
    <xf numFmtId="173" fontId="0" fillId="0" borderId="3" xfId="0" applyNumberFormat="1" applyBorder="1" applyAlignment="1">
      <alignment horizontal="center"/>
    </xf>
    <xf numFmtId="173" fontId="0" fillId="0" borderId="6" xfId="0" applyNumberFormat="1" applyBorder="1" applyAlignment="1">
      <alignment horizontal="center"/>
    </xf>
    <xf numFmtId="173" fontId="0" fillId="0" borderId="8" xfId="0" applyNumberFormat="1" applyBorder="1" applyAlignment="1">
      <alignment horizontal="center"/>
    </xf>
    <xf numFmtId="174" fontId="0" fillId="0" borderId="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2" fontId="0" fillId="0" borderId="11" xfId="0" applyNumberFormat="1" applyBorder="1" applyAlignment="1">
      <alignment horizontal="center"/>
    </xf>
    <xf numFmtId="172" fontId="0" fillId="0" borderId="13" xfId="0" applyNumberFormat="1" applyBorder="1" applyAlignment="1">
      <alignment horizontal="center"/>
    </xf>
    <xf numFmtId="172" fontId="0" fillId="0" borderId="15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D069-E9CC-4155-827B-99CFB07E9CFA}">
  <dimension ref="B1:H177"/>
  <sheetViews>
    <sheetView workbookViewId="0">
      <selection activeCell="J15" sqref="J15"/>
    </sheetView>
  </sheetViews>
  <sheetFormatPr defaultRowHeight="14.4" x14ac:dyDescent="0.3"/>
  <cols>
    <col min="2" max="2" width="10.5546875" style="1" bestFit="1" customWidth="1"/>
    <col min="3" max="7" width="8.88671875" style="55"/>
    <col min="8" max="8" width="8.88671875" style="1"/>
  </cols>
  <sheetData>
    <row r="1" spans="2:8" ht="15" thickBot="1" x14ac:dyDescent="0.35"/>
    <row r="2" spans="2:8" ht="15" thickBot="1" x14ac:dyDescent="0.35">
      <c r="B2" s="14" t="s">
        <v>0</v>
      </c>
      <c r="C2" s="52" t="s">
        <v>1</v>
      </c>
      <c r="D2" s="53" t="s">
        <v>2</v>
      </c>
      <c r="E2" s="52" t="s">
        <v>3</v>
      </c>
      <c r="F2" s="53" t="s">
        <v>4</v>
      </c>
      <c r="G2" s="52" t="s">
        <v>5</v>
      </c>
      <c r="H2" s="13" t="s">
        <v>6</v>
      </c>
    </row>
    <row r="3" spans="2:8" x14ac:dyDescent="0.3">
      <c r="B3" s="34" t="s">
        <v>7</v>
      </c>
      <c r="C3" s="54">
        <v>1.1047</v>
      </c>
      <c r="D3" s="55">
        <v>1.1076999999999999</v>
      </c>
      <c r="E3" s="54">
        <v>1.1094999999999999</v>
      </c>
      <c r="F3" s="55">
        <v>1.1044</v>
      </c>
      <c r="G3" s="54"/>
      <c r="H3" s="37">
        <v>-2.7000000000000001E-3</v>
      </c>
    </row>
    <row r="4" spans="2:8" x14ac:dyDescent="0.3">
      <c r="B4" s="34" t="s">
        <v>8</v>
      </c>
      <c r="C4" s="54">
        <v>1.1076999999999999</v>
      </c>
      <c r="D4" s="55">
        <v>1.1119000000000001</v>
      </c>
      <c r="E4" s="54">
        <v>1.1141000000000001</v>
      </c>
      <c r="F4" s="55">
        <v>1.1054999999999999</v>
      </c>
      <c r="G4" s="54"/>
      <c r="H4" s="37">
        <v>-3.8999999999999998E-3</v>
      </c>
    </row>
    <row r="5" spans="2:8" x14ac:dyDescent="0.3">
      <c r="B5" s="34" t="s">
        <v>9</v>
      </c>
      <c r="C5" s="54">
        <v>1.1120000000000001</v>
      </c>
      <c r="D5" s="55">
        <v>1.1184000000000001</v>
      </c>
      <c r="E5" s="54">
        <v>1.1186</v>
      </c>
      <c r="F5" s="55">
        <v>1.1105</v>
      </c>
      <c r="G5" s="54"/>
      <c r="H5" s="37">
        <v>-5.7000000000000002E-3</v>
      </c>
    </row>
    <row r="6" spans="2:8" x14ac:dyDescent="0.3">
      <c r="B6" s="34" t="s">
        <v>10</v>
      </c>
      <c r="C6" s="54">
        <v>1.1184000000000001</v>
      </c>
      <c r="D6" s="55">
        <v>1.1161000000000001</v>
      </c>
      <c r="E6" s="54">
        <v>1.1191</v>
      </c>
      <c r="F6" s="55">
        <v>1.115</v>
      </c>
      <c r="G6" s="54"/>
      <c r="H6" s="37">
        <v>2.0999999999999999E-3</v>
      </c>
    </row>
    <row r="7" spans="2:8" x14ac:dyDescent="0.3">
      <c r="B7" s="34" t="s">
        <v>11</v>
      </c>
      <c r="C7" s="54">
        <v>1.1161000000000001</v>
      </c>
      <c r="D7" s="55">
        <v>1.1188</v>
      </c>
      <c r="E7" s="54">
        <v>1.1202000000000001</v>
      </c>
      <c r="F7" s="55">
        <v>1.115</v>
      </c>
      <c r="G7" s="54"/>
      <c r="H7" s="37">
        <v>-2.5999999999999999E-3</v>
      </c>
    </row>
    <row r="8" spans="2:8" x14ac:dyDescent="0.3">
      <c r="B8" s="34" t="s">
        <v>12</v>
      </c>
      <c r="C8" s="54">
        <v>1.119</v>
      </c>
      <c r="D8" s="55">
        <v>1.1113</v>
      </c>
      <c r="E8" s="54">
        <v>1.1200000000000001</v>
      </c>
      <c r="F8" s="55">
        <v>1.1105</v>
      </c>
      <c r="G8" s="54"/>
      <c r="H8" s="37">
        <v>7.0000000000000001E-3</v>
      </c>
    </row>
    <row r="9" spans="2:8" x14ac:dyDescent="0.3">
      <c r="B9" s="34" t="s">
        <v>13</v>
      </c>
      <c r="C9" s="54">
        <v>1.1112</v>
      </c>
      <c r="D9" s="55">
        <v>1.115</v>
      </c>
      <c r="E9" s="54">
        <v>1.1165</v>
      </c>
      <c r="F9" s="55">
        <v>1.1096999999999999</v>
      </c>
      <c r="G9" s="54"/>
      <c r="H9" s="37">
        <v>-3.3999999999999998E-3</v>
      </c>
    </row>
    <row r="10" spans="2:8" x14ac:dyDescent="0.3">
      <c r="B10" s="34" t="s">
        <v>14</v>
      </c>
      <c r="C10" s="54">
        <v>1.115</v>
      </c>
      <c r="D10" s="55">
        <v>1.1128</v>
      </c>
      <c r="E10" s="54">
        <v>1.1173</v>
      </c>
      <c r="F10" s="55">
        <v>1.1099000000000001</v>
      </c>
      <c r="G10" s="54"/>
      <c r="H10" s="37">
        <v>1.8E-3</v>
      </c>
    </row>
    <row r="11" spans="2:8" x14ac:dyDescent="0.3">
      <c r="B11" s="34" t="s">
        <v>15</v>
      </c>
      <c r="C11" s="54">
        <v>1.113</v>
      </c>
      <c r="D11" s="55">
        <v>1.1085</v>
      </c>
      <c r="E11" s="54">
        <v>1.113</v>
      </c>
      <c r="F11" s="55">
        <v>1.1071</v>
      </c>
      <c r="G11" s="54"/>
      <c r="H11" s="37">
        <v>4.1000000000000003E-3</v>
      </c>
    </row>
    <row r="12" spans="2:8" x14ac:dyDescent="0.3">
      <c r="B12" s="34" t="s">
        <v>16</v>
      </c>
      <c r="C12" s="54">
        <v>1.1085</v>
      </c>
      <c r="D12" s="55">
        <v>1.1024</v>
      </c>
      <c r="E12" s="54">
        <v>1.1086</v>
      </c>
      <c r="F12" s="55">
        <v>1.1022000000000001</v>
      </c>
      <c r="G12" s="54"/>
      <c r="H12" s="37">
        <v>5.1999999999999998E-3</v>
      </c>
    </row>
    <row r="13" spans="2:8" x14ac:dyDescent="0.3">
      <c r="B13" s="34" t="s">
        <v>17</v>
      </c>
      <c r="C13" s="54">
        <v>1.1028</v>
      </c>
      <c r="D13" s="55">
        <v>1.0972</v>
      </c>
      <c r="E13" s="54">
        <v>1.103</v>
      </c>
      <c r="F13" s="55">
        <v>1.097</v>
      </c>
      <c r="G13" s="54"/>
      <c r="H13" s="37">
        <v>5.1999999999999998E-3</v>
      </c>
    </row>
    <row r="14" spans="2:8" x14ac:dyDescent="0.3">
      <c r="B14" s="34" t="s">
        <v>18</v>
      </c>
      <c r="C14" s="54">
        <v>1.0971</v>
      </c>
      <c r="D14" s="55">
        <v>1.1012</v>
      </c>
      <c r="E14" s="54">
        <v>1.1015999999999999</v>
      </c>
      <c r="F14" s="55">
        <v>1.0949</v>
      </c>
      <c r="G14" s="54"/>
      <c r="H14" s="37">
        <v>-3.7000000000000002E-3</v>
      </c>
    </row>
    <row r="15" spans="2:8" x14ac:dyDescent="0.3">
      <c r="B15" s="34" t="s">
        <v>19</v>
      </c>
      <c r="C15" s="54">
        <v>1.1012</v>
      </c>
      <c r="D15" s="55">
        <v>1.0992</v>
      </c>
      <c r="E15" s="54">
        <v>1.1048</v>
      </c>
      <c r="F15" s="55">
        <v>1.0984</v>
      </c>
      <c r="G15" s="54"/>
      <c r="H15" s="37">
        <v>1.8E-3</v>
      </c>
    </row>
    <row r="16" spans="2:8" x14ac:dyDescent="0.3">
      <c r="B16" s="34" t="s">
        <v>20</v>
      </c>
      <c r="C16" s="54">
        <v>1.0992</v>
      </c>
      <c r="D16" s="55">
        <v>1.0931999999999999</v>
      </c>
      <c r="E16" s="54">
        <v>1.0999000000000001</v>
      </c>
      <c r="F16" s="55">
        <v>1.0912999999999999</v>
      </c>
      <c r="G16" s="54"/>
      <c r="H16" s="37">
        <v>5.5999999999999999E-3</v>
      </c>
    </row>
    <row r="17" spans="2:8" x14ac:dyDescent="0.3">
      <c r="B17" s="38">
        <v>45634</v>
      </c>
      <c r="C17" s="54">
        <v>1.0931</v>
      </c>
      <c r="D17" s="55">
        <v>1.0914999999999999</v>
      </c>
      <c r="E17" s="54">
        <v>1.0940000000000001</v>
      </c>
      <c r="F17" s="55">
        <v>1.0911</v>
      </c>
      <c r="G17" s="54"/>
      <c r="H17" s="37">
        <v>1.4E-3</v>
      </c>
    </row>
    <row r="18" spans="2:8" x14ac:dyDescent="0.3">
      <c r="B18" s="38">
        <v>45543</v>
      </c>
      <c r="C18" s="54">
        <v>1.0915999999999999</v>
      </c>
      <c r="D18" s="55">
        <v>1.0919000000000001</v>
      </c>
      <c r="E18" s="54">
        <v>1.0931999999999999</v>
      </c>
      <c r="F18" s="55">
        <v>1.0909</v>
      </c>
      <c r="G18" s="54"/>
      <c r="H18" s="37">
        <v>-2.0000000000000001E-4</v>
      </c>
    </row>
    <row r="19" spans="2:8" x14ac:dyDescent="0.3">
      <c r="B19" s="38">
        <v>45512</v>
      </c>
      <c r="C19" s="54">
        <v>1.0918000000000001</v>
      </c>
      <c r="D19" s="55">
        <v>1.0922000000000001</v>
      </c>
      <c r="E19" s="54">
        <v>1.0946</v>
      </c>
      <c r="F19" s="55">
        <v>1.0882000000000001</v>
      </c>
      <c r="G19" s="54"/>
      <c r="H19" s="37">
        <v>-2.9999999999999997E-4</v>
      </c>
    </row>
    <row r="20" spans="2:8" x14ac:dyDescent="0.3">
      <c r="B20" s="38">
        <v>45481</v>
      </c>
      <c r="C20" s="54">
        <v>1.0921000000000001</v>
      </c>
      <c r="D20" s="55">
        <v>1.0928</v>
      </c>
      <c r="E20" s="54">
        <v>1.0935999999999999</v>
      </c>
      <c r="F20" s="55">
        <v>1.0905</v>
      </c>
      <c r="G20" s="54"/>
      <c r="H20" s="37">
        <v>-8.0000000000000004E-4</v>
      </c>
    </row>
    <row r="21" spans="2:8" x14ac:dyDescent="0.3">
      <c r="B21" s="38">
        <v>45451</v>
      </c>
      <c r="C21" s="54">
        <v>1.093</v>
      </c>
      <c r="D21" s="55">
        <v>1.0952999999999999</v>
      </c>
      <c r="E21" s="54">
        <v>1.0964</v>
      </c>
      <c r="F21" s="55">
        <v>1.0903</v>
      </c>
      <c r="G21" s="54"/>
      <c r="H21" s="37">
        <v>-2E-3</v>
      </c>
    </row>
    <row r="22" spans="2:8" x14ac:dyDescent="0.3">
      <c r="B22" s="38">
        <v>45420</v>
      </c>
      <c r="C22" s="54">
        <v>1.0952</v>
      </c>
      <c r="D22" s="55">
        <v>1.0922000000000001</v>
      </c>
      <c r="E22" s="54">
        <v>1.1008</v>
      </c>
      <c r="F22" s="55">
        <v>1.0891999999999999</v>
      </c>
      <c r="G22" s="54"/>
      <c r="H22" s="37">
        <v>4.0000000000000001E-3</v>
      </c>
    </row>
    <row r="23" spans="2:8" x14ac:dyDescent="0.3">
      <c r="B23" s="38">
        <v>45330</v>
      </c>
      <c r="C23" s="54">
        <v>1.0908</v>
      </c>
      <c r="D23" s="55">
        <v>1.0789</v>
      </c>
      <c r="E23" s="54">
        <v>1.0927</v>
      </c>
      <c r="F23" s="55">
        <v>1.0782</v>
      </c>
      <c r="G23" s="54"/>
      <c r="H23" s="37">
        <v>1.0800000000000001E-2</v>
      </c>
    </row>
    <row r="24" spans="2:8" x14ac:dyDescent="0.3">
      <c r="B24" s="38">
        <v>45299</v>
      </c>
      <c r="C24" s="54">
        <v>1.0790999999999999</v>
      </c>
      <c r="D24" s="55">
        <v>1.0826</v>
      </c>
      <c r="E24" s="54">
        <v>1.0835999999999999</v>
      </c>
      <c r="F24" s="55">
        <v>1.0775999999999999</v>
      </c>
      <c r="G24" s="54"/>
      <c r="H24" s="37">
        <v>-3.0999999999999999E-3</v>
      </c>
    </row>
    <row r="25" spans="2:8" x14ac:dyDescent="0.3">
      <c r="B25" s="34" t="s">
        <v>21</v>
      </c>
      <c r="C25" s="54">
        <v>1.0825</v>
      </c>
      <c r="D25" s="55">
        <v>1.0815999999999999</v>
      </c>
      <c r="E25" s="54">
        <v>1.085</v>
      </c>
      <c r="F25" s="55">
        <v>1.0802</v>
      </c>
      <c r="G25" s="54"/>
      <c r="H25" s="37">
        <v>8.9999999999999998E-4</v>
      </c>
    </row>
    <row r="26" spans="2:8" x14ac:dyDescent="0.3">
      <c r="B26" s="34" t="s">
        <v>22</v>
      </c>
      <c r="C26" s="54">
        <v>1.0814999999999999</v>
      </c>
      <c r="D26" s="55">
        <v>1.0821000000000001</v>
      </c>
      <c r="E26" s="54">
        <v>1.0837000000000001</v>
      </c>
      <c r="F26" s="55">
        <v>1.0797000000000001</v>
      </c>
      <c r="G26" s="54"/>
      <c r="H26" s="37">
        <v>-4.0000000000000002E-4</v>
      </c>
    </row>
    <row r="27" spans="2:8" x14ac:dyDescent="0.3">
      <c r="B27" s="34" t="s">
        <v>23</v>
      </c>
      <c r="C27" s="54">
        <v>1.0819000000000001</v>
      </c>
      <c r="D27" s="55">
        <v>1.0864</v>
      </c>
      <c r="E27" s="54">
        <v>1.087</v>
      </c>
      <c r="F27" s="55">
        <v>1.0803</v>
      </c>
      <c r="G27" s="54"/>
      <c r="H27" s="37">
        <v>-3.5000000000000001E-3</v>
      </c>
    </row>
    <row r="28" spans="2:8" x14ac:dyDescent="0.3">
      <c r="B28" s="34" t="s">
        <v>24</v>
      </c>
      <c r="C28" s="54">
        <v>1.0857000000000001</v>
      </c>
      <c r="D28" s="55">
        <v>1.0847</v>
      </c>
      <c r="E28" s="54">
        <v>1.0869</v>
      </c>
      <c r="F28" s="55">
        <v>1.0841000000000001</v>
      </c>
      <c r="G28" s="54"/>
      <c r="H28" s="37">
        <v>1.1999999999999999E-3</v>
      </c>
    </row>
    <row r="29" spans="2:8" x14ac:dyDescent="0.3">
      <c r="B29" s="34" t="s">
        <v>25</v>
      </c>
      <c r="C29" s="54">
        <v>1.0844</v>
      </c>
      <c r="D29" s="55">
        <v>1.0840000000000001</v>
      </c>
      <c r="E29" s="54">
        <v>1.087</v>
      </c>
      <c r="F29" s="55">
        <v>1.0827</v>
      </c>
      <c r="G29" s="54"/>
      <c r="H29" s="37">
        <v>5.0000000000000001E-4</v>
      </c>
    </row>
    <row r="30" spans="2:8" x14ac:dyDescent="0.3">
      <c r="B30" s="34" t="s">
        <v>26</v>
      </c>
      <c r="C30" s="54">
        <v>1.0839000000000001</v>
      </c>
      <c r="D30" s="55">
        <v>1.0853999999999999</v>
      </c>
      <c r="E30" s="54">
        <v>1.0868</v>
      </c>
      <c r="F30" s="55">
        <v>1.0826</v>
      </c>
      <c r="G30" s="54"/>
      <c r="H30" s="37">
        <v>-1.1000000000000001E-3</v>
      </c>
    </row>
    <row r="31" spans="2:8" x14ac:dyDescent="0.3">
      <c r="B31" s="34" t="s">
        <v>27</v>
      </c>
      <c r="C31" s="54">
        <v>1.0851</v>
      </c>
      <c r="D31" s="55">
        <v>1.0891999999999999</v>
      </c>
      <c r="E31" s="54">
        <v>1.0898000000000001</v>
      </c>
      <c r="F31" s="55">
        <v>1.0843</v>
      </c>
      <c r="G31" s="54"/>
      <c r="H31" s="37">
        <v>-3.5000000000000001E-3</v>
      </c>
    </row>
    <row r="32" spans="2:8" x14ac:dyDescent="0.3">
      <c r="B32" s="34" t="s">
        <v>28</v>
      </c>
      <c r="C32" s="54">
        <v>1.0889</v>
      </c>
      <c r="D32" s="55">
        <v>1.0881000000000001</v>
      </c>
      <c r="E32" s="54">
        <v>1.0904</v>
      </c>
      <c r="F32" s="55">
        <v>1.0871999999999999</v>
      </c>
      <c r="G32" s="54"/>
      <c r="H32" s="37">
        <v>1.1000000000000001E-3</v>
      </c>
    </row>
    <row r="33" spans="2:8" x14ac:dyDescent="0.3">
      <c r="B33" s="34" t="s">
        <v>29</v>
      </c>
      <c r="C33" s="54">
        <v>1.0876999999999999</v>
      </c>
      <c r="D33" s="55">
        <v>1.0901000000000001</v>
      </c>
      <c r="E33" s="54">
        <v>1.0903</v>
      </c>
      <c r="F33" s="55">
        <v>1.0875999999999999</v>
      </c>
      <c r="G33" s="54"/>
      <c r="H33" s="37">
        <v>-1.6999999999999999E-3</v>
      </c>
    </row>
    <row r="34" spans="2:8" x14ac:dyDescent="0.3">
      <c r="B34" s="34" t="s">
        <v>30</v>
      </c>
      <c r="C34" s="54">
        <v>1.0895999999999999</v>
      </c>
      <c r="D34" s="55">
        <v>1.0938000000000001</v>
      </c>
      <c r="E34" s="54">
        <v>1.0941000000000001</v>
      </c>
      <c r="F34" s="55">
        <v>1.0892999999999999</v>
      </c>
      <c r="G34" s="54"/>
      <c r="H34" s="37">
        <v>-3.7000000000000002E-3</v>
      </c>
    </row>
    <row r="35" spans="2:8" x14ac:dyDescent="0.3">
      <c r="B35" s="34" t="s">
        <v>31</v>
      </c>
      <c r="C35" s="54">
        <v>1.0936999999999999</v>
      </c>
      <c r="D35" s="55">
        <v>1.0899000000000001</v>
      </c>
      <c r="E35" s="54">
        <v>1.0948</v>
      </c>
      <c r="F35" s="55">
        <v>1.0894999999999999</v>
      </c>
      <c r="G35" s="54"/>
      <c r="H35" s="37">
        <v>3.7000000000000002E-3</v>
      </c>
    </row>
    <row r="36" spans="2:8" x14ac:dyDescent="0.3">
      <c r="B36" s="34" t="s">
        <v>32</v>
      </c>
      <c r="C36" s="54">
        <v>1.0896999999999999</v>
      </c>
      <c r="D36" s="55">
        <v>1.0894999999999999</v>
      </c>
      <c r="E36" s="54">
        <v>1.0906</v>
      </c>
      <c r="F36" s="55">
        <v>1.0871</v>
      </c>
      <c r="G36" s="54"/>
      <c r="H36" s="37">
        <v>2.9999999999999997E-4</v>
      </c>
    </row>
    <row r="37" spans="2:8" x14ac:dyDescent="0.3">
      <c r="B37" s="34" t="s">
        <v>33</v>
      </c>
      <c r="C37" s="54">
        <v>1.0893999999999999</v>
      </c>
      <c r="D37" s="55">
        <v>1.0887</v>
      </c>
      <c r="E37" s="54">
        <v>1.0923</v>
      </c>
      <c r="F37" s="55">
        <v>1.0883</v>
      </c>
      <c r="G37" s="54"/>
      <c r="H37" s="37">
        <v>-1.1000000000000001E-3</v>
      </c>
    </row>
    <row r="38" spans="2:8" x14ac:dyDescent="0.3">
      <c r="B38" s="38">
        <v>45633</v>
      </c>
      <c r="C38" s="54">
        <v>1.0906</v>
      </c>
      <c r="D38" s="55">
        <v>1.0866</v>
      </c>
      <c r="E38" s="54">
        <v>1.0911999999999999</v>
      </c>
      <c r="F38" s="55">
        <v>1.0861000000000001</v>
      </c>
      <c r="G38" s="54"/>
      <c r="H38" s="37">
        <v>3.8E-3</v>
      </c>
    </row>
    <row r="39" spans="2:8" x14ac:dyDescent="0.3">
      <c r="B39" s="38">
        <v>45603</v>
      </c>
      <c r="C39" s="54">
        <v>1.0865</v>
      </c>
      <c r="D39" s="55">
        <v>1.0831</v>
      </c>
      <c r="E39" s="54">
        <v>1.0901000000000001</v>
      </c>
      <c r="F39" s="55">
        <v>1.0826</v>
      </c>
      <c r="G39" s="54"/>
      <c r="H39" s="37">
        <v>3.2000000000000002E-3</v>
      </c>
    </row>
    <row r="40" spans="2:8" x14ac:dyDescent="0.3">
      <c r="B40" s="38">
        <v>45572</v>
      </c>
      <c r="C40" s="54">
        <v>1.083</v>
      </c>
      <c r="D40" s="55">
        <v>1.0812999999999999</v>
      </c>
      <c r="E40" s="54">
        <v>1.0831999999999999</v>
      </c>
      <c r="F40" s="55">
        <v>1.0810999999999999</v>
      </c>
      <c r="G40" s="54"/>
      <c r="H40" s="37">
        <v>1.6999999999999999E-3</v>
      </c>
    </row>
    <row r="41" spans="2:8" x14ac:dyDescent="0.3">
      <c r="B41" s="38">
        <v>45542</v>
      </c>
      <c r="C41" s="54">
        <v>1.0811999999999999</v>
      </c>
      <c r="D41" s="55">
        <v>1.0829</v>
      </c>
      <c r="E41" s="54">
        <v>1.0833999999999999</v>
      </c>
      <c r="F41" s="55">
        <v>1.0805</v>
      </c>
      <c r="G41" s="54"/>
      <c r="H41" s="37">
        <v>-8.9999999999999998E-4</v>
      </c>
    </row>
    <row r="42" spans="2:8" x14ac:dyDescent="0.3">
      <c r="B42" s="38">
        <v>45511</v>
      </c>
      <c r="C42" s="54">
        <v>1.0822000000000001</v>
      </c>
      <c r="D42" s="55">
        <v>1.0809</v>
      </c>
      <c r="E42" s="54">
        <v>1.0846</v>
      </c>
      <c r="F42" s="55">
        <v>1.0802</v>
      </c>
      <c r="G42" s="54"/>
      <c r="H42" s="37">
        <v>-1.2999999999999999E-3</v>
      </c>
    </row>
    <row r="43" spans="2:8" x14ac:dyDescent="0.3">
      <c r="B43" s="38">
        <v>45419</v>
      </c>
      <c r="C43" s="54">
        <v>1.0835999999999999</v>
      </c>
      <c r="D43" s="55">
        <v>1.0811999999999999</v>
      </c>
      <c r="E43" s="54">
        <v>1.0843</v>
      </c>
      <c r="F43" s="55">
        <v>1.0809</v>
      </c>
      <c r="G43" s="54"/>
      <c r="H43" s="37">
        <v>2.3999999999999998E-3</v>
      </c>
    </row>
    <row r="44" spans="2:8" x14ac:dyDescent="0.3">
      <c r="B44" s="38">
        <v>45389</v>
      </c>
      <c r="C44" s="54">
        <v>1.081</v>
      </c>
      <c r="D44" s="55">
        <v>1.0786</v>
      </c>
      <c r="E44" s="54">
        <v>1.0813999999999999</v>
      </c>
      <c r="F44" s="55">
        <v>1.0783</v>
      </c>
      <c r="G44" s="54"/>
      <c r="H44" s="37">
        <v>2.2000000000000001E-3</v>
      </c>
    </row>
    <row r="45" spans="2:8" x14ac:dyDescent="0.3">
      <c r="B45" s="38">
        <v>45358</v>
      </c>
      <c r="C45" s="54">
        <v>1.0786</v>
      </c>
      <c r="D45" s="55">
        <v>1.0743</v>
      </c>
      <c r="E45" s="54">
        <v>1.0818000000000001</v>
      </c>
      <c r="F45" s="55">
        <v>1.0734999999999999</v>
      </c>
      <c r="G45" s="54"/>
      <c r="H45" s="37">
        <v>3.8999999999999998E-3</v>
      </c>
    </row>
    <row r="46" spans="2:8" x14ac:dyDescent="0.3">
      <c r="B46" s="38">
        <v>45329</v>
      </c>
      <c r="C46" s="54">
        <v>1.0744</v>
      </c>
      <c r="D46" s="55">
        <v>1.0741000000000001</v>
      </c>
      <c r="E46" s="54">
        <v>1.0748</v>
      </c>
      <c r="F46" s="55">
        <v>1.0709</v>
      </c>
      <c r="G46" s="54"/>
      <c r="H46" s="37">
        <v>5.9999999999999995E-4</v>
      </c>
    </row>
    <row r="47" spans="2:8" x14ac:dyDescent="0.3">
      <c r="B47" s="38">
        <v>45298</v>
      </c>
      <c r="C47" s="54">
        <v>1.0738000000000001</v>
      </c>
      <c r="D47" s="55">
        <v>1.0728</v>
      </c>
      <c r="E47" s="54">
        <v>1.0777000000000001</v>
      </c>
      <c r="F47" s="55">
        <v>1.0719000000000001</v>
      </c>
      <c r="G47" s="54"/>
      <c r="H47" s="37">
        <v>2.3E-3</v>
      </c>
    </row>
    <row r="48" spans="2:8" x14ac:dyDescent="0.3">
      <c r="B48" s="34" t="s">
        <v>34</v>
      </c>
      <c r="C48" s="54">
        <v>1.0712999999999999</v>
      </c>
      <c r="D48" s="55">
        <v>1.0703</v>
      </c>
      <c r="E48" s="54">
        <v>1.0726</v>
      </c>
      <c r="F48" s="55">
        <v>1.0684</v>
      </c>
      <c r="G48" s="54"/>
      <c r="H48" s="37">
        <v>1E-3</v>
      </c>
    </row>
    <row r="49" spans="2:8" x14ac:dyDescent="0.3">
      <c r="B49" s="34" t="s">
        <v>35</v>
      </c>
      <c r="C49" s="54">
        <v>1.0702</v>
      </c>
      <c r="D49" s="55">
        <v>1.0680000000000001</v>
      </c>
      <c r="E49" s="54">
        <v>1.0727</v>
      </c>
      <c r="F49" s="55">
        <v>1.0676000000000001</v>
      </c>
      <c r="G49" s="54"/>
      <c r="H49" s="37">
        <v>2.2000000000000001E-3</v>
      </c>
    </row>
    <row r="50" spans="2:8" x14ac:dyDescent="0.3">
      <c r="B50" s="34" t="s">
        <v>36</v>
      </c>
      <c r="C50" s="54">
        <v>1.0679000000000001</v>
      </c>
      <c r="D50" s="55">
        <v>1.0712999999999999</v>
      </c>
      <c r="E50" s="54">
        <v>1.0718000000000001</v>
      </c>
      <c r="F50" s="55">
        <v>1.0666</v>
      </c>
      <c r="G50" s="54"/>
      <c r="H50" s="37">
        <v>-3.2000000000000002E-3</v>
      </c>
    </row>
    <row r="51" spans="2:8" x14ac:dyDescent="0.3">
      <c r="B51" s="34" t="s">
        <v>37</v>
      </c>
      <c r="C51" s="54">
        <v>1.0712999999999999</v>
      </c>
      <c r="D51" s="55">
        <v>1.0734999999999999</v>
      </c>
      <c r="E51" s="54">
        <v>1.0745</v>
      </c>
      <c r="F51" s="55">
        <v>1.069</v>
      </c>
      <c r="G51" s="54"/>
      <c r="H51" s="37">
        <v>-1.8E-3</v>
      </c>
    </row>
    <row r="52" spans="2:8" x14ac:dyDescent="0.3">
      <c r="B52" s="34" t="s">
        <v>38</v>
      </c>
      <c r="C52" s="54">
        <v>1.0731999999999999</v>
      </c>
      <c r="D52" s="55">
        <v>1.0688</v>
      </c>
      <c r="E52" s="54">
        <v>1.0747</v>
      </c>
      <c r="F52" s="55">
        <v>1.0683</v>
      </c>
      <c r="G52" s="54"/>
      <c r="H52" s="37">
        <v>3.8E-3</v>
      </c>
    </row>
    <row r="53" spans="2:8" x14ac:dyDescent="0.3">
      <c r="B53" s="34" t="s">
        <v>39</v>
      </c>
      <c r="C53" s="54">
        <v>1.0690999999999999</v>
      </c>
      <c r="D53" s="55">
        <v>1.0702</v>
      </c>
      <c r="E53" s="54">
        <v>1.0721000000000001</v>
      </c>
      <c r="F53" s="55">
        <v>1.0669999999999999</v>
      </c>
      <c r="G53" s="54"/>
      <c r="H53" s="37">
        <v>-8.0000000000000004E-4</v>
      </c>
    </row>
    <row r="54" spans="2:8" x14ac:dyDescent="0.3">
      <c r="B54" s="34" t="s">
        <v>40</v>
      </c>
      <c r="C54" s="54">
        <v>1.07</v>
      </c>
      <c r="D54" s="55">
        <v>1.0745</v>
      </c>
      <c r="E54" s="54">
        <v>1.0749</v>
      </c>
      <c r="F54" s="55">
        <v>1.0702</v>
      </c>
      <c r="G54" s="54"/>
      <c r="H54" s="37">
        <v>-3.8999999999999998E-3</v>
      </c>
    </row>
    <row r="55" spans="2:8" x14ac:dyDescent="0.3">
      <c r="B55" s="34" t="s">
        <v>41</v>
      </c>
      <c r="C55" s="54">
        <v>1.0742</v>
      </c>
      <c r="D55" s="55">
        <v>1.0740000000000001</v>
      </c>
      <c r="E55" s="54">
        <v>1.0753999999999999</v>
      </c>
      <c r="F55" s="55">
        <v>1.0724</v>
      </c>
      <c r="G55" s="54"/>
      <c r="H55" s="37">
        <v>4.0000000000000002E-4</v>
      </c>
    </row>
    <row r="56" spans="2:8" x14ac:dyDescent="0.3">
      <c r="B56" s="34" t="s">
        <v>42</v>
      </c>
      <c r="C56" s="54">
        <v>1.0738000000000001</v>
      </c>
      <c r="D56" s="55">
        <v>1.0733999999999999</v>
      </c>
      <c r="E56" s="54">
        <v>1.0762</v>
      </c>
      <c r="F56" s="55">
        <v>1.0709</v>
      </c>
      <c r="G56" s="54"/>
      <c r="H56" s="37">
        <v>4.0000000000000002E-4</v>
      </c>
    </row>
    <row r="57" spans="2:8" x14ac:dyDescent="0.3">
      <c r="B57" s="34" t="s">
        <v>43</v>
      </c>
      <c r="C57" s="54">
        <v>1.0733999999999999</v>
      </c>
      <c r="D57" s="55">
        <v>1.0702</v>
      </c>
      <c r="E57" s="54">
        <v>1.0739000000000001</v>
      </c>
      <c r="F57" s="55">
        <v>1.0686</v>
      </c>
      <c r="G57" s="54"/>
      <c r="H57" s="37">
        <v>3.2000000000000002E-3</v>
      </c>
    </row>
    <row r="58" spans="2:8" x14ac:dyDescent="0.3">
      <c r="B58" s="34" t="s">
        <v>44</v>
      </c>
      <c r="C58" s="54">
        <v>1.07</v>
      </c>
      <c r="D58" s="55">
        <v>1.0737000000000001</v>
      </c>
      <c r="E58" s="54">
        <v>1.0746</v>
      </c>
      <c r="F58" s="55">
        <v>1.0668</v>
      </c>
      <c r="G58" s="54"/>
      <c r="H58" s="37">
        <v>-3.3E-3</v>
      </c>
    </row>
    <row r="59" spans="2:8" x14ac:dyDescent="0.3">
      <c r="B59" s="34" t="s">
        <v>90</v>
      </c>
      <c r="C59" s="54">
        <v>1.0734999999999999</v>
      </c>
      <c r="D59" s="55">
        <v>1.0809</v>
      </c>
      <c r="E59" s="54">
        <v>1.0817000000000001</v>
      </c>
      <c r="F59" s="55">
        <v>1.0732999999999999</v>
      </c>
      <c r="G59" s="54"/>
      <c r="H59" s="37">
        <v>-6.7000000000000002E-3</v>
      </c>
    </row>
    <row r="60" spans="2:8" x14ac:dyDescent="0.3">
      <c r="B60" s="38">
        <v>45632</v>
      </c>
      <c r="C60" s="54">
        <v>1.0807</v>
      </c>
      <c r="D60" s="55">
        <v>1.0742</v>
      </c>
      <c r="E60" s="54">
        <v>1.0852999999999999</v>
      </c>
      <c r="F60" s="55">
        <v>1.0733999999999999</v>
      </c>
      <c r="G60" s="54"/>
      <c r="H60" s="37">
        <v>6.3E-3</v>
      </c>
    </row>
    <row r="61" spans="2:8" x14ac:dyDescent="0.3">
      <c r="B61" s="38">
        <v>45602</v>
      </c>
      <c r="C61" s="54">
        <v>1.0739000000000001</v>
      </c>
      <c r="D61" s="55">
        <v>1.0765</v>
      </c>
      <c r="E61" s="54">
        <v>1.0774999999999999</v>
      </c>
      <c r="F61" s="55">
        <v>1.0719000000000001</v>
      </c>
      <c r="G61" s="54"/>
      <c r="H61" s="37">
        <v>-2.2000000000000001E-3</v>
      </c>
    </row>
    <row r="62" spans="2:8" x14ac:dyDescent="0.3">
      <c r="B62" s="38">
        <v>45571</v>
      </c>
      <c r="C62" s="54">
        <v>1.0763</v>
      </c>
      <c r="D62" s="55">
        <v>1.0797000000000001</v>
      </c>
      <c r="E62" s="54">
        <v>1.0797000000000001</v>
      </c>
      <c r="F62" s="55">
        <v>1.0731999999999999</v>
      </c>
      <c r="G62" s="54"/>
      <c r="H62" s="37">
        <v>-3.3999999999999998E-3</v>
      </c>
    </row>
    <row r="63" spans="2:8" x14ac:dyDescent="0.3">
      <c r="B63" s="38">
        <v>45479</v>
      </c>
      <c r="C63" s="54">
        <v>1.08</v>
      </c>
      <c r="D63" s="55">
        <v>1.089</v>
      </c>
      <c r="E63" s="54">
        <v>1.0903</v>
      </c>
      <c r="F63" s="55">
        <v>1.0799000000000001</v>
      </c>
      <c r="G63" s="54"/>
      <c r="H63" s="37">
        <v>-8.0999999999999996E-3</v>
      </c>
    </row>
    <row r="64" spans="2:8" x14ac:dyDescent="0.3">
      <c r="B64" s="38">
        <v>45449</v>
      </c>
      <c r="C64" s="54">
        <v>1.0888</v>
      </c>
      <c r="D64" s="55">
        <v>1.0869</v>
      </c>
      <c r="E64" s="54">
        <v>1.0903</v>
      </c>
      <c r="F64" s="55">
        <v>1.0862000000000001</v>
      </c>
      <c r="G64" s="54"/>
      <c r="H64" s="37">
        <v>1.8E-3</v>
      </c>
    </row>
    <row r="65" spans="2:8" x14ac:dyDescent="0.3">
      <c r="B65" s="38">
        <v>45418</v>
      </c>
      <c r="C65" s="54">
        <v>1.0868</v>
      </c>
      <c r="D65" s="55">
        <v>1.0879000000000001</v>
      </c>
      <c r="E65" s="54">
        <v>1.0891999999999999</v>
      </c>
      <c r="F65" s="55">
        <v>1.0853999999999999</v>
      </c>
      <c r="G65" s="54"/>
      <c r="H65" s="37">
        <v>-8.9999999999999998E-4</v>
      </c>
    </row>
    <row r="66" spans="2:8" x14ac:dyDescent="0.3">
      <c r="B66" s="38">
        <v>45388</v>
      </c>
      <c r="C66" s="54">
        <v>1.0878000000000001</v>
      </c>
      <c r="D66" s="55">
        <v>1.0904</v>
      </c>
      <c r="E66" s="54">
        <v>1.0916999999999999</v>
      </c>
      <c r="F66" s="55">
        <v>1.0859000000000001</v>
      </c>
      <c r="G66" s="54"/>
      <c r="H66" s="37">
        <v>-2.2000000000000001E-3</v>
      </c>
    </row>
    <row r="67" spans="2:8" x14ac:dyDescent="0.3">
      <c r="B67" s="38">
        <v>45357</v>
      </c>
      <c r="C67" s="54">
        <v>1.0902000000000001</v>
      </c>
      <c r="D67" s="55">
        <v>1.0851</v>
      </c>
      <c r="E67" s="54">
        <v>1.0905</v>
      </c>
      <c r="F67" s="55">
        <v>1.0826</v>
      </c>
      <c r="G67" s="54"/>
      <c r="H67" s="37">
        <v>5.5999999999999999E-3</v>
      </c>
    </row>
    <row r="68" spans="2:8" x14ac:dyDescent="0.3">
      <c r="B68" s="34" t="s">
        <v>91</v>
      </c>
      <c r="C68" s="54">
        <v>1.0841000000000001</v>
      </c>
      <c r="D68" s="55">
        <v>1.0831999999999999</v>
      </c>
      <c r="E68" s="54">
        <v>1.0883</v>
      </c>
      <c r="F68" s="55">
        <v>1.0810999999999999</v>
      </c>
      <c r="G68" s="54"/>
      <c r="H68" s="37">
        <v>8.0000000000000004E-4</v>
      </c>
    </row>
    <row r="69" spans="2:8" x14ac:dyDescent="0.3">
      <c r="B69" s="34" t="s">
        <v>92</v>
      </c>
      <c r="C69" s="54">
        <v>1.0831999999999999</v>
      </c>
      <c r="D69" s="55">
        <v>1.0802</v>
      </c>
      <c r="E69" s="54">
        <v>1.0846</v>
      </c>
      <c r="F69" s="55">
        <v>1.0788</v>
      </c>
      <c r="G69" s="54"/>
      <c r="H69" s="37">
        <v>3.0000000000000001E-3</v>
      </c>
    </row>
    <row r="70" spans="2:8" x14ac:dyDescent="0.3">
      <c r="B70" s="34" t="s">
        <v>93</v>
      </c>
      <c r="C70" s="54">
        <v>1.08</v>
      </c>
      <c r="D70" s="55">
        <v>1.0857000000000001</v>
      </c>
      <c r="E70" s="54">
        <v>1.0861000000000001</v>
      </c>
      <c r="F70" s="55">
        <v>1.0799000000000001</v>
      </c>
      <c r="G70" s="54"/>
      <c r="H70" s="37">
        <v>-5.1000000000000004E-3</v>
      </c>
    </row>
    <row r="71" spans="2:8" x14ac:dyDescent="0.3">
      <c r="B71" s="34" t="s">
        <v>94</v>
      </c>
      <c r="C71" s="54">
        <v>1.0854999999999999</v>
      </c>
      <c r="D71" s="55">
        <v>1.0860000000000001</v>
      </c>
      <c r="E71" s="54">
        <v>1.089</v>
      </c>
      <c r="F71" s="55">
        <v>1.0852999999999999</v>
      </c>
      <c r="G71" s="54"/>
      <c r="H71" s="37">
        <v>-2.9999999999999997E-4</v>
      </c>
    </row>
    <row r="72" spans="2:8" x14ac:dyDescent="0.3">
      <c r="B72" s="34" t="s">
        <v>95</v>
      </c>
      <c r="C72" s="54">
        <v>1.0858000000000001</v>
      </c>
      <c r="D72" s="55">
        <v>1.0853999999999999</v>
      </c>
      <c r="E72" s="54">
        <v>1.0868</v>
      </c>
      <c r="F72" s="55">
        <v>1.0841000000000001</v>
      </c>
      <c r="G72" s="54"/>
      <c r="H72" s="37">
        <v>1.1999999999999999E-3</v>
      </c>
    </row>
    <row r="73" spans="2:8" x14ac:dyDescent="0.3">
      <c r="B73" s="34" t="s">
        <v>96</v>
      </c>
      <c r="C73" s="54">
        <v>1.0845</v>
      </c>
      <c r="D73" s="55">
        <v>1.0813999999999999</v>
      </c>
      <c r="E73" s="54">
        <v>1.0859000000000001</v>
      </c>
      <c r="F73" s="55">
        <v>1.0805</v>
      </c>
      <c r="G73" s="54"/>
      <c r="H73" s="37">
        <v>3.0000000000000001E-3</v>
      </c>
    </row>
    <row r="74" spans="2:8" x14ac:dyDescent="0.3">
      <c r="B74" s="34" t="s">
        <v>97</v>
      </c>
      <c r="C74" s="54">
        <v>1.0812999999999999</v>
      </c>
      <c r="D74" s="55">
        <v>1.0824</v>
      </c>
      <c r="E74" s="54">
        <v>1.0862000000000001</v>
      </c>
      <c r="F74" s="55">
        <v>1.0805</v>
      </c>
      <c r="G74" s="54"/>
      <c r="H74" s="37">
        <v>-6.9999999999999999E-4</v>
      </c>
    </row>
    <row r="75" spans="2:8" x14ac:dyDescent="0.3">
      <c r="B75" s="34" t="s">
        <v>98</v>
      </c>
      <c r="C75" s="54">
        <v>1.0821000000000001</v>
      </c>
      <c r="D75" s="55">
        <v>1.0854999999999999</v>
      </c>
      <c r="E75" s="54">
        <v>1.0864</v>
      </c>
      <c r="F75" s="55">
        <v>1.0817000000000001</v>
      </c>
      <c r="G75" s="54"/>
      <c r="H75" s="37">
        <v>-3.0000000000000001E-3</v>
      </c>
    </row>
    <row r="76" spans="2:8" x14ac:dyDescent="0.3">
      <c r="B76" s="34" t="s">
        <v>99</v>
      </c>
      <c r="C76" s="54">
        <v>1.0853999999999999</v>
      </c>
      <c r="D76" s="55">
        <v>1.0859000000000001</v>
      </c>
      <c r="E76" s="54">
        <v>1.0875999999999999</v>
      </c>
      <c r="F76" s="55">
        <v>1.0842000000000001</v>
      </c>
      <c r="G76" s="54"/>
      <c r="H76" s="37">
        <v>-1E-4</v>
      </c>
    </row>
    <row r="77" spans="2:8" x14ac:dyDescent="0.3">
      <c r="B77" s="34" t="s">
        <v>100</v>
      </c>
      <c r="C77" s="54">
        <v>1.0854999999999999</v>
      </c>
      <c r="D77" s="55">
        <v>1.0866</v>
      </c>
      <c r="E77" s="54">
        <v>1.0885</v>
      </c>
      <c r="F77" s="55">
        <v>1.0853999999999999</v>
      </c>
      <c r="G77" s="54"/>
      <c r="H77" s="37">
        <v>-1.4E-3</v>
      </c>
    </row>
    <row r="78" spans="2:8" x14ac:dyDescent="0.3">
      <c r="B78" s="34" t="s">
        <v>101</v>
      </c>
      <c r="C78" s="54">
        <v>1.087</v>
      </c>
      <c r="D78" s="55">
        <v>1.0866</v>
      </c>
      <c r="E78" s="54">
        <v>1.0879000000000001</v>
      </c>
      <c r="F78" s="55">
        <v>1.0834999999999999</v>
      </c>
      <c r="G78" s="54"/>
      <c r="H78" s="37">
        <v>5.0000000000000001E-4</v>
      </c>
    </row>
    <row r="79" spans="2:8" x14ac:dyDescent="0.3">
      <c r="B79" s="34" t="s">
        <v>102</v>
      </c>
      <c r="C79" s="54">
        <v>1.0865</v>
      </c>
      <c r="D79" s="55">
        <v>1.0885</v>
      </c>
      <c r="E79" s="54">
        <v>1.0895999999999999</v>
      </c>
      <c r="F79" s="55">
        <v>1.0853999999999999</v>
      </c>
      <c r="G79" s="54"/>
      <c r="H79" s="37">
        <v>-1.6000000000000001E-3</v>
      </c>
    </row>
    <row r="80" spans="2:8" x14ac:dyDescent="0.3">
      <c r="B80" s="34" t="s">
        <v>103</v>
      </c>
      <c r="C80" s="54">
        <v>1.0882000000000001</v>
      </c>
      <c r="D80" s="55">
        <v>1.0819000000000001</v>
      </c>
      <c r="E80" s="54">
        <v>1.0886</v>
      </c>
      <c r="F80" s="55">
        <v>1.0811999999999999</v>
      </c>
      <c r="G80" s="54"/>
      <c r="H80" s="37">
        <v>5.8999999999999999E-3</v>
      </c>
    </row>
    <row r="81" spans="2:8" x14ac:dyDescent="0.3">
      <c r="B81" s="34" t="s">
        <v>104</v>
      </c>
      <c r="C81" s="54">
        <v>1.0818000000000001</v>
      </c>
      <c r="D81" s="55">
        <v>1.0788</v>
      </c>
      <c r="E81" s="54">
        <v>1.0826</v>
      </c>
      <c r="F81" s="55">
        <v>1.0767</v>
      </c>
      <c r="G81" s="54"/>
      <c r="H81" s="37">
        <v>2.8E-3</v>
      </c>
    </row>
    <row r="82" spans="2:8" x14ac:dyDescent="0.3">
      <c r="B82" s="34" t="s">
        <v>105</v>
      </c>
      <c r="C82" s="54">
        <v>1.0788</v>
      </c>
      <c r="D82" s="55">
        <v>1.0773999999999999</v>
      </c>
      <c r="E82" s="54">
        <v>1.0807</v>
      </c>
      <c r="F82" s="55">
        <v>1.0766</v>
      </c>
      <c r="G82" s="54"/>
      <c r="H82" s="37">
        <v>1.8E-3</v>
      </c>
    </row>
    <row r="83" spans="2:8" x14ac:dyDescent="0.3">
      <c r="B83" s="38">
        <v>45570</v>
      </c>
      <c r="C83" s="54">
        <v>1.0769</v>
      </c>
      <c r="D83" s="55">
        <v>1.0782</v>
      </c>
      <c r="E83" s="54">
        <v>1.079</v>
      </c>
      <c r="F83" s="55">
        <v>1.0760000000000001</v>
      </c>
      <c r="G83" s="54"/>
      <c r="H83" s="37">
        <v>-1.1000000000000001E-3</v>
      </c>
    </row>
    <row r="84" spans="2:8" x14ac:dyDescent="0.3">
      <c r="B84" s="38">
        <v>45540</v>
      </c>
      <c r="C84" s="54">
        <v>1.0781000000000001</v>
      </c>
      <c r="D84" s="55">
        <v>1.0750999999999999</v>
      </c>
      <c r="E84" s="54">
        <v>1.0785</v>
      </c>
      <c r="F84" s="55">
        <v>1.0724</v>
      </c>
      <c r="G84" s="54"/>
      <c r="H84" s="37">
        <v>3.3999999999999998E-3</v>
      </c>
    </row>
    <row r="85" spans="2:8" x14ac:dyDescent="0.3">
      <c r="B85" s="38">
        <v>45509</v>
      </c>
      <c r="C85" s="54">
        <v>1.0745</v>
      </c>
      <c r="D85" s="55">
        <v>1.0753999999999999</v>
      </c>
      <c r="E85" s="54">
        <v>1.0758000000000001</v>
      </c>
      <c r="F85" s="55">
        <v>1.0733999999999999</v>
      </c>
      <c r="G85" s="54"/>
      <c r="H85" s="37">
        <v>-6.9999999999999999E-4</v>
      </c>
    </row>
    <row r="86" spans="2:8" x14ac:dyDescent="0.3">
      <c r="B86" s="38">
        <v>45478</v>
      </c>
      <c r="C86" s="54">
        <v>1.0751999999999999</v>
      </c>
      <c r="D86" s="55">
        <v>1.077</v>
      </c>
      <c r="E86" s="54">
        <v>1.0788</v>
      </c>
      <c r="F86" s="55">
        <v>1.0747</v>
      </c>
      <c r="G86" s="54"/>
      <c r="H86" s="37">
        <v>-1.5E-3</v>
      </c>
    </row>
    <row r="87" spans="2:8" x14ac:dyDescent="0.3">
      <c r="B87" s="38">
        <v>45448</v>
      </c>
      <c r="C87" s="54">
        <v>1.0768</v>
      </c>
      <c r="D87" s="55">
        <v>1.0762</v>
      </c>
      <c r="E87" s="54">
        <v>1.0790999999999999</v>
      </c>
      <c r="F87" s="55">
        <v>1.0753999999999999</v>
      </c>
      <c r="G87" s="54"/>
      <c r="H87" s="37">
        <v>8.9999999999999998E-4</v>
      </c>
    </row>
    <row r="88" spans="2:8" x14ac:dyDescent="0.3">
      <c r="B88" s="38">
        <v>45356</v>
      </c>
      <c r="C88" s="54">
        <v>1.0758000000000001</v>
      </c>
      <c r="D88" s="55">
        <v>1.0727</v>
      </c>
      <c r="E88" s="54">
        <v>1.0812999999999999</v>
      </c>
      <c r="F88" s="55">
        <v>1.0724</v>
      </c>
      <c r="G88" s="54"/>
      <c r="H88" s="37">
        <v>3.0999999999999999E-3</v>
      </c>
    </row>
    <row r="89" spans="2:8" x14ac:dyDescent="0.3">
      <c r="B89" s="38">
        <v>45327</v>
      </c>
      <c r="C89" s="54">
        <v>1.0725</v>
      </c>
      <c r="D89" s="55">
        <v>1.0710999999999999</v>
      </c>
      <c r="E89" s="54">
        <v>1.0730999999999999</v>
      </c>
      <c r="F89" s="55">
        <v>1.0673999999999999</v>
      </c>
      <c r="G89" s="54"/>
      <c r="H89" s="37">
        <v>1.5E-3</v>
      </c>
    </row>
    <row r="90" spans="2:8" x14ac:dyDescent="0.3">
      <c r="B90" s="38">
        <v>45296</v>
      </c>
      <c r="C90" s="54">
        <v>1.0709</v>
      </c>
      <c r="D90" s="55">
        <v>1.0664</v>
      </c>
      <c r="E90" s="54">
        <v>1.0732999999999999</v>
      </c>
      <c r="F90" s="55">
        <v>1.0649</v>
      </c>
      <c r="G90" s="54"/>
      <c r="H90" s="37">
        <v>4.1000000000000003E-3</v>
      </c>
    </row>
    <row r="91" spans="2:8" x14ac:dyDescent="0.3">
      <c r="B91" s="34" t="s">
        <v>106</v>
      </c>
      <c r="C91" s="54">
        <v>1.0665</v>
      </c>
      <c r="D91" s="55">
        <v>1.0724</v>
      </c>
      <c r="E91" s="54">
        <v>1.0736000000000001</v>
      </c>
      <c r="F91" s="55">
        <v>1.0664</v>
      </c>
      <c r="G91" s="54"/>
      <c r="H91" s="37">
        <v>-5.0000000000000001E-3</v>
      </c>
    </row>
    <row r="92" spans="2:8" x14ac:dyDescent="0.3">
      <c r="B92" s="34" t="s">
        <v>107</v>
      </c>
      <c r="C92" s="54">
        <v>1.0719000000000001</v>
      </c>
      <c r="D92" s="55">
        <v>1.0694999999999999</v>
      </c>
      <c r="E92" s="54">
        <v>1.0733999999999999</v>
      </c>
      <c r="F92" s="55">
        <v>1.069</v>
      </c>
      <c r="G92" s="54"/>
      <c r="H92" s="37">
        <v>2.5000000000000001E-3</v>
      </c>
    </row>
    <row r="93" spans="2:8" x14ac:dyDescent="0.3">
      <c r="B93" s="34" t="s">
        <v>108</v>
      </c>
      <c r="C93" s="54">
        <v>1.0691999999999999</v>
      </c>
      <c r="D93" s="55">
        <v>1.0731999999999999</v>
      </c>
      <c r="E93" s="54">
        <v>1.0753999999999999</v>
      </c>
      <c r="F93" s="55">
        <v>1.0673999999999999</v>
      </c>
      <c r="G93" s="54"/>
      <c r="H93" s="37">
        <v>-3.3999999999999998E-3</v>
      </c>
    </row>
    <row r="94" spans="2:8" x14ac:dyDescent="0.3">
      <c r="B94" s="34" t="s">
        <v>109</v>
      </c>
      <c r="C94" s="54">
        <v>1.0729</v>
      </c>
      <c r="D94" s="55">
        <v>1.0699000000000001</v>
      </c>
      <c r="E94" s="54">
        <v>1.0740000000000001</v>
      </c>
      <c r="F94" s="55">
        <v>1.0678000000000001</v>
      </c>
      <c r="G94" s="54"/>
      <c r="H94" s="37">
        <v>3.0000000000000001E-3</v>
      </c>
    </row>
    <row r="95" spans="2:8" x14ac:dyDescent="0.3">
      <c r="B95" s="34" t="s">
        <v>110</v>
      </c>
      <c r="C95" s="54">
        <v>1.0697000000000001</v>
      </c>
      <c r="D95" s="55">
        <v>1.0703</v>
      </c>
      <c r="E95" s="54">
        <v>1.0714999999999999</v>
      </c>
      <c r="F95" s="55">
        <v>1.0677000000000001</v>
      </c>
      <c r="G95" s="54"/>
      <c r="H95" s="37">
        <v>-2.0000000000000001E-4</v>
      </c>
    </row>
    <row r="96" spans="2:8" x14ac:dyDescent="0.3">
      <c r="B96" s="34" t="s">
        <v>111</v>
      </c>
      <c r="C96" s="54">
        <v>1.0699000000000001</v>
      </c>
      <c r="D96" s="55">
        <v>1.0654999999999999</v>
      </c>
      <c r="E96" s="54">
        <v>1.0711999999999999</v>
      </c>
      <c r="F96" s="55">
        <v>1.0638000000000001</v>
      </c>
      <c r="G96" s="54"/>
      <c r="H96" s="37">
        <v>4.1999999999999997E-3</v>
      </c>
    </row>
    <row r="97" spans="2:8" x14ac:dyDescent="0.3">
      <c r="B97" s="34" t="s">
        <v>112</v>
      </c>
      <c r="C97" s="54">
        <v>1.0653999999999999</v>
      </c>
      <c r="D97" s="55">
        <v>1.0656000000000001</v>
      </c>
      <c r="E97" s="54">
        <v>1.0670999999999999</v>
      </c>
      <c r="F97" s="55">
        <v>1.0623</v>
      </c>
      <c r="G97" s="54"/>
      <c r="H97" s="37">
        <v>0</v>
      </c>
    </row>
    <row r="98" spans="2:8" x14ac:dyDescent="0.3">
      <c r="B98" s="34" t="s">
        <v>113</v>
      </c>
      <c r="C98" s="54">
        <v>1.0653999999999999</v>
      </c>
      <c r="D98" s="55">
        <v>1.0645</v>
      </c>
      <c r="E98" s="54">
        <v>1.0678000000000001</v>
      </c>
      <c r="F98" s="55">
        <v>1.0609999999999999</v>
      </c>
      <c r="G98" s="54"/>
      <c r="H98" s="37">
        <v>1E-3</v>
      </c>
    </row>
    <row r="99" spans="2:8" x14ac:dyDescent="0.3">
      <c r="B99" s="34" t="s">
        <v>114</v>
      </c>
      <c r="C99" s="54">
        <v>1.0643</v>
      </c>
      <c r="D99" s="55">
        <v>1.0671999999999999</v>
      </c>
      <c r="E99" s="54">
        <v>1.069</v>
      </c>
      <c r="F99" s="55">
        <v>1.0641</v>
      </c>
      <c r="G99" s="54"/>
      <c r="H99" s="37">
        <v>-2.5999999999999999E-3</v>
      </c>
    </row>
    <row r="100" spans="2:8" x14ac:dyDescent="0.3">
      <c r="B100" s="34" t="s">
        <v>115</v>
      </c>
      <c r="C100" s="54">
        <v>1.0670999999999999</v>
      </c>
      <c r="D100" s="55">
        <v>1.0619000000000001</v>
      </c>
      <c r="E100" s="54">
        <v>1.0680000000000001</v>
      </c>
      <c r="F100" s="55">
        <v>1.0605</v>
      </c>
      <c r="G100" s="54"/>
      <c r="H100" s="37">
        <v>5.1000000000000004E-3</v>
      </c>
    </row>
    <row r="101" spans="2:8" x14ac:dyDescent="0.3">
      <c r="B101" s="34" t="s">
        <v>116</v>
      </c>
      <c r="C101" s="54">
        <v>1.0617000000000001</v>
      </c>
      <c r="D101" s="55">
        <v>1.0624</v>
      </c>
      <c r="E101" s="54">
        <v>1.0653999999999999</v>
      </c>
      <c r="F101" s="55">
        <v>1.0601</v>
      </c>
      <c r="G101" s="54"/>
      <c r="H101" s="37">
        <v>-5.0000000000000001E-4</v>
      </c>
    </row>
    <row r="102" spans="2:8" x14ac:dyDescent="0.3">
      <c r="B102" s="34" t="s">
        <v>117</v>
      </c>
      <c r="C102" s="54">
        <v>1.0622</v>
      </c>
      <c r="D102" s="55">
        <v>1.0637000000000001</v>
      </c>
      <c r="E102" s="54">
        <v>1.0666</v>
      </c>
      <c r="F102" s="55">
        <v>1.0619000000000001</v>
      </c>
      <c r="G102" s="54"/>
      <c r="H102" s="37">
        <v>-1.9E-3</v>
      </c>
    </row>
    <row r="103" spans="2:8" x14ac:dyDescent="0.3">
      <c r="B103" s="38">
        <v>45630</v>
      </c>
      <c r="C103" s="54">
        <v>1.0642</v>
      </c>
      <c r="D103" s="55">
        <v>1.0726</v>
      </c>
      <c r="E103" s="54">
        <v>1.0730999999999999</v>
      </c>
      <c r="F103" s="55">
        <v>1.0622</v>
      </c>
      <c r="G103" s="54"/>
      <c r="H103" s="37">
        <v>-7.6E-3</v>
      </c>
    </row>
    <row r="104" spans="2:8" x14ac:dyDescent="0.3">
      <c r="B104" s="38">
        <v>45600</v>
      </c>
      <c r="C104" s="54">
        <v>1.0724</v>
      </c>
      <c r="D104" s="55">
        <v>1.0743</v>
      </c>
      <c r="E104" s="54">
        <v>1.0757000000000001</v>
      </c>
      <c r="F104" s="55">
        <v>1.0698000000000001</v>
      </c>
      <c r="G104" s="54"/>
      <c r="H104" s="37">
        <v>-1.6999999999999999E-3</v>
      </c>
    </row>
    <row r="105" spans="2:8" x14ac:dyDescent="0.3">
      <c r="B105" s="38">
        <v>45569</v>
      </c>
      <c r="C105" s="54">
        <v>1.0742</v>
      </c>
      <c r="D105" s="55">
        <v>1.0857000000000001</v>
      </c>
      <c r="E105" s="54">
        <v>1.0868</v>
      </c>
      <c r="F105" s="55">
        <v>1.0728</v>
      </c>
      <c r="G105" s="54"/>
      <c r="H105" s="37">
        <v>-1.04E-2</v>
      </c>
    </row>
    <row r="106" spans="2:8" x14ac:dyDescent="0.3">
      <c r="B106" s="38">
        <v>45539</v>
      </c>
      <c r="C106" s="54">
        <v>1.0854999999999999</v>
      </c>
      <c r="D106" s="55">
        <v>1.0859000000000001</v>
      </c>
      <c r="E106" s="54">
        <v>1.0886</v>
      </c>
      <c r="F106" s="55">
        <v>1.0847</v>
      </c>
      <c r="G106" s="54"/>
      <c r="H106" s="37">
        <v>-2.9999999999999997E-4</v>
      </c>
    </row>
    <row r="107" spans="2:8" x14ac:dyDescent="0.3">
      <c r="B107" s="38">
        <v>45508</v>
      </c>
      <c r="C107" s="54">
        <v>1.0858000000000001</v>
      </c>
      <c r="D107" s="55">
        <v>1.0843</v>
      </c>
      <c r="E107" s="54">
        <v>1.0863</v>
      </c>
      <c r="F107" s="55">
        <v>1.0820000000000001</v>
      </c>
      <c r="G107" s="54"/>
      <c r="H107" s="37">
        <v>2.0999999999999999E-3</v>
      </c>
    </row>
    <row r="108" spans="2:8" x14ac:dyDescent="0.3">
      <c r="B108" s="38">
        <v>45416</v>
      </c>
      <c r="C108" s="54">
        <v>1.0834999999999999</v>
      </c>
      <c r="D108" s="55">
        <v>1.0835999999999999</v>
      </c>
      <c r="E108" s="54">
        <v>1.0848</v>
      </c>
      <c r="F108" s="55">
        <v>1.0790999999999999</v>
      </c>
      <c r="G108" s="54"/>
      <c r="H108" s="37">
        <v>0</v>
      </c>
    </row>
    <row r="109" spans="2:8" x14ac:dyDescent="0.3">
      <c r="B109" s="38">
        <v>45386</v>
      </c>
      <c r="C109" s="54">
        <v>1.0834999999999999</v>
      </c>
      <c r="D109" s="55">
        <v>1.0832999999999999</v>
      </c>
      <c r="E109" s="54">
        <v>1.0876999999999999</v>
      </c>
      <c r="F109" s="55">
        <v>1.0831999999999999</v>
      </c>
      <c r="G109" s="54"/>
      <c r="H109" s="37">
        <v>0</v>
      </c>
    </row>
    <row r="110" spans="2:8" x14ac:dyDescent="0.3">
      <c r="B110" s="38">
        <v>45355</v>
      </c>
      <c r="C110" s="54">
        <v>1.0834999999999999</v>
      </c>
      <c r="D110" s="55">
        <v>1.0771999999999999</v>
      </c>
      <c r="E110" s="54">
        <v>1.0838000000000001</v>
      </c>
      <c r="F110" s="55">
        <v>1.0763</v>
      </c>
      <c r="G110" s="54"/>
      <c r="H110" s="37">
        <v>6.1999999999999998E-3</v>
      </c>
    </row>
    <row r="111" spans="2:8" x14ac:dyDescent="0.3">
      <c r="B111" s="38">
        <v>45326</v>
      </c>
      <c r="C111" s="54">
        <v>1.0768</v>
      </c>
      <c r="D111" s="55">
        <v>1.0743</v>
      </c>
      <c r="E111" s="54">
        <v>1.0780000000000001</v>
      </c>
      <c r="F111" s="55">
        <v>1.0724</v>
      </c>
      <c r="G111" s="54"/>
      <c r="H111" s="37">
        <v>2.3E-3</v>
      </c>
    </row>
    <row r="112" spans="2:8" x14ac:dyDescent="0.3">
      <c r="B112" s="38">
        <v>45295</v>
      </c>
      <c r="C112" s="54">
        <v>1.0743</v>
      </c>
      <c r="D112" s="55">
        <v>1.0788</v>
      </c>
      <c r="E112" s="54">
        <v>1.0799000000000001</v>
      </c>
      <c r="F112" s="55">
        <v>1.0730999999999999</v>
      </c>
      <c r="G112" s="54"/>
      <c r="H112" s="37">
        <v>-4.5999999999999999E-3</v>
      </c>
    </row>
    <row r="113" spans="2:8" x14ac:dyDescent="0.3">
      <c r="B113" s="34" t="s">
        <v>118</v>
      </c>
      <c r="C113" s="54">
        <v>1.0792999999999999</v>
      </c>
      <c r="D113" s="55">
        <v>1.079</v>
      </c>
      <c r="E113" s="54">
        <v>1.0806</v>
      </c>
      <c r="F113" s="55">
        <v>1.0767</v>
      </c>
      <c r="G113" s="54"/>
      <c r="H113" s="37">
        <v>5.9999999999999995E-4</v>
      </c>
    </row>
    <row r="114" spans="2:8" x14ac:dyDescent="0.3">
      <c r="B114" s="34" t="s">
        <v>119</v>
      </c>
      <c r="C114" s="54">
        <v>1.0787</v>
      </c>
      <c r="D114" s="55">
        <v>1.0827</v>
      </c>
      <c r="E114" s="54">
        <v>1.0828</v>
      </c>
      <c r="F114" s="55">
        <v>1.0773999999999999</v>
      </c>
      <c r="G114" s="54"/>
      <c r="H114" s="37">
        <v>-3.5999999999999999E-3</v>
      </c>
    </row>
    <row r="115" spans="2:8" x14ac:dyDescent="0.3">
      <c r="B115" s="34" t="s">
        <v>120</v>
      </c>
      <c r="C115" s="54">
        <v>1.0826</v>
      </c>
      <c r="D115" s="55">
        <v>1.0831999999999999</v>
      </c>
      <c r="E115" s="54">
        <v>1.0840000000000001</v>
      </c>
      <c r="F115" s="55">
        <v>1.081</v>
      </c>
      <c r="G115" s="54"/>
      <c r="H115" s="37">
        <v>-4.0000000000000002E-4</v>
      </c>
    </row>
    <row r="116" spans="2:8" x14ac:dyDescent="0.3">
      <c r="B116" s="34" t="s">
        <v>121</v>
      </c>
      <c r="C116" s="54">
        <v>1.083</v>
      </c>
      <c r="D116" s="55">
        <v>1.0838000000000001</v>
      </c>
      <c r="E116" s="54">
        <v>1.0865</v>
      </c>
      <c r="F116" s="55">
        <v>1.0824</v>
      </c>
      <c r="G116" s="54"/>
      <c r="H116" s="37">
        <v>-5.9999999999999995E-4</v>
      </c>
    </row>
    <row r="117" spans="2:8" x14ac:dyDescent="0.3">
      <c r="B117" s="34" t="s">
        <v>122</v>
      </c>
      <c r="C117" s="54">
        <v>1.0835999999999999</v>
      </c>
      <c r="D117" s="55">
        <v>1.0808</v>
      </c>
      <c r="E117" s="54">
        <v>1.0843</v>
      </c>
      <c r="F117" s="55">
        <v>1.0802</v>
      </c>
      <c r="G117" s="54"/>
      <c r="H117" s="37">
        <v>2.8999999999999998E-3</v>
      </c>
    </row>
    <row r="118" spans="2:8" x14ac:dyDescent="0.3">
      <c r="B118" s="34" t="s">
        <v>123</v>
      </c>
      <c r="C118" s="54">
        <v>1.0805</v>
      </c>
      <c r="D118" s="55">
        <v>1.0860000000000001</v>
      </c>
      <c r="E118" s="54">
        <v>1.0869</v>
      </c>
      <c r="F118" s="55">
        <v>1.0802</v>
      </c>
      <c r="G118" s="54"/>
      <c r="H118" s="37">
        <v>-5.1000000000000004E-3</v>
      </c>
    </row>
    <row r="119" spans="2:8" x14ac:dyDescent="0.3">
      <c r="B119" s="34" t="s">
        <v>124</v>
      </c>
      <c r="C119" s="54">
        <v>1.0860000000000001</v>
      </c>
      <c r="D119" s="55">
        <v>1.0921000000000001</v>
      </c>
      <c r="E119" s="54">
        <v>1.0943000000000001</v>
      </c>
      <c r="F119" s="55">
        <v>1.0854999999999999</v>
      </c>
      <c r="G119" s="54"/>
      <c r="H119" s="37">
        <v>-5.3E-3</v>
      </c>
    </row>
    <row r="120" spans="2:8" x14ac:dyDescent="0.3">
      <c r="B120" s="34" t="s">
        <v>125</v>
      </c>
      <c r="C120" s="54">
        <v>1.0918000000000001</v>
      </c>
      <c r="D120" s="55">
        <v>1.0864</v>
      </c>
      <c r="E120" s="54">
        <v>1.0924</v>
      </c>
      <c r="F120" s="55">
        <v>1.0835999999999999</v>
      </c>
      <c r="G120" s="54"/>
      <c r="H120" s="37">
        <v>4.8999999999999998E-3</v>
      </c>
    </row>
    <row r="121" spans="2:8" x14ac:dyDescent="0.3">
      <c r="B121" s="34" t="s">
        <v>126</v>
      </c>
      <c r="C121" s="54">
        <v>1.0865</v>
      </c>
      <c r="D121" s="55">
        <v>1.0872999999999999</v>
      </c>
      <c r="E121" s="54">
        <v>1.0876999999999999</v>
      </c>
      <c r="F121" s="55">
        <v>1.0833999999999999</v>
      </c>
      <c r="G121" s="54"/>
      <c r="H121" s="37">
        <v>-5.9999999999999995E-4</v>
      </c>
    </row>
    <row r="122" spans="2:8" x14ac:dyDescent="0.3">
      <c r="B122" s="34" t="s">
        <v>127</v>
      </c>
      <c r="C122" s="54">
        <v>1.0871</v>
      </c>
      <c r="D122" s="55">
        <v>1.0892999999999999</v>
      </c>
      <c r="E122" s="54">
        <v>1.0906</v>
      </c>
      <c r="F122" s="55">
        <v>1.0865</v>
      </c>
      <c r="G122" s="54"/>
      <c r="H122" s="37">
        <v>-1.5E-3</v>
      </c>
    </row>
    <row r="123" spans="2:8" x14ac:dyDescent="0.3">
      <c r="B123" s="34" t="s">
        <v>128</v>
      </c>
      <c r="C123" s="54">
        <v>1.0887</v>
      </c>
      <c r="D123" s="55">
        <v>1.0883</v>
      </c>
      <c r="E123" s="54">
        <v>1.0900000000000001</v>
      </c>
      <c r="F123" s="55">
        <v>1.0871999999999999</v>
      </c>
      <c r="G123" s="54"/>
      <c r="H123" s="37">
        <v>5.9999999999999995E-4</v>
      </c>
    </row>
    <row r="124" spans="2:8" x14ac:dyDescent="0.3">
      <c r="B124" s="34" t="s">
        <v>129</v>
      </c>
      <c r="C124" s="54">
        <v>1.0881000000000001</v>
      </c>
      <c r="D124" s="55">
        <v>1.095</v>
      </c>
      <c r="E124" s="54">
        <v>1.0954999999999999</v>
      </c>
      <c r="F124" s="55">
        <v>1.0880000000000001</v>
      </c>
      <c r="G124" s="54"/>
      <c r="H124" s="37">
        <v>-5.8999999999999999E-3</v>
      </c>
    </row>
    <row r="125" spans="2:8" x14ac:dyDescent="0.3">
      <c r="B125" s="34" t="s">
        <v>130</v>
      </c>
      <c r="C125" s="54">
        <v>1.0946</v>
      </c>
      <c r="D125" s="55">
        <v>1.0926</v>
      </c>
      <c r="E125" s="54">
        <v>1.0964</v>
      </c>
      <c r="F125" s="55">
        <v>1.0920000000000001</v>
      </c>
      <c r="G125" s="54"/>
      <c r="H125" s="37">
        <v>2E-3</v>
      </c>
    </row>
    <row r="126" spans="2:8" x14ac:dyDescent="0.3">
      <c r="B126" s="38">
        <v>45629</v>
      </c>
      <c r="C126" s="54">
        <v>1.0924</v>
      </c>
      <c r="D126" s="55">
        <v>1.0925</v>
      </c>
      <c r="E126" s="54">
        <v>1.0946</v>
      </c>
      <c r="F126" s="55">
        <v>1.0899000000000001</v>
      </c>
      <c r="G126" s="54"/>
      <c r="H126" s="37">
        <v>-2.0000000000000001E-4</v>
      </c>
    </row>
    <row r="127" spans="2:8" x14ac:dyDescent="0.3">
      <c r="B127" s="38">
        <v>45599</v>
      </c>
      <c r="C127" s="54">
        <v>1.0926</v>
      </c>
      <c r="D127" s="55">
        <v>1.0944</v>
      </c>
      <c r="E127" s="54">
        <v>1.0948</v>
      </c>
      <c r="F127" s="55">
        <v>1.0913999999999999</v>
      </c>
      <c r="G127" s="54"/>
      <c r="H127" s="37">
        <v>-1E-3</v>
      </c>
    </row>
    <row r="128" spans="2:8" x14ac:dyDescent="0.3">
      <c r="B128" s="38">
        <v>45507</v>
      </c>
      <c r="C128" s="54">
        <v>1.0936999999999999</v>
      </c>
      <c r="D128" s="55">
        <v>1.0948</v>
      </c>
      <c r="E128" s="54">
        <v>1.0982000000000001</v>
      </c>
      <c r="F128" s="55">
        <v>1.0919000000000001</v>
      </c>
      <c r="G128" s="54"/>
      <c r="H128" s="37">
        <v>-8.0000000000000004E-4</v>
      </c>
    </row>
    <row r="129" spans="2:8" x14ac:dyDescent="0.3">
      <c r="B129" s="38">
        <v>45476</v>
      </c>
      <c r="C129" s="54">
        <v>1.0946</v>
      </c>
      <c r="D129" s="55">
        <v>1.0896999999999999</v>
      </c>
      <c r="E129" s="54">
        <v>1.095</v>
      </c>
      <c r="F129" s="55">
        <v>1.0868</v>
      </c>
      <c r="G129" s="54"/>
      <c r="H129" s="37">
        <v>4.4999999999999997E-3</v>
      </c>
    </row>
    <row r="130" spans="2:8" x14ac:dyDescent="0.3">
      <c r="B130" s="38">
        <v>45446</v>
      </c>
      <c r="C130" s="54">
        <v>1.0896999999999999</v>
      </c>
      <c r="D130" s="55">
        <v>1.0859000000000001</v>
      </c>
      <c r="E130" s="54">
        <v>1.0915999999999999</v>
      </c>
      <c r="F130" s="55">
        <v>1.0841000000000001</v>
      </c>
      <c r="G130" s="54"/>
      <c r="H130" s="37">
        <v>3.8999999999999998E-3</v>
      </c>
    </row>
    <row r="131" spans="2:8" x14ac:dyDescent="0.3">
      <c r="B131" s="38">
        <v>45415</v>
      </c>
      <c r="C131" s="54">
        <v>1.0854999999999999</v>
      </c>
      <c r="D131" s="55">
        <v>1.0854999999999999</v>
      </c>
      <c r="E131" s="54">
        <v>1.0876999999999999</v>
      </c>
      <c r="F131" s="55">
        <v>1.0840000000000001</v>
      </c>
      <c r="G131" s="54"/>
      <c r="H131" s="37">
        <v>1E-4</v>
      </c>
    </row>
    <row r="132" spans="2:8" x14ac:dyDescent="0.3">
      <c r="B132" s="38">
        <v>45385</v>
      </c>
      <c r="C132" s="54">
        <v>1.0853999999999999</v>
      </c>
      <c r="D132" s="55">
        <v>1.0842000000000001</v>
      </c>
      <c r="E132" s="54">
        <v>1.0868</v>
      </c>
      <c r="F132" s="55">
        <v>1.0838000000000001</v>
      </c>
      <c r="G132" s="54"/>
      <c r="H132" s="37">
        <v>1.6000000000000001E-3</v>
      </c>
    </row>
    <row r="133" spans="2:8" x14ac:dyDescent="0.3">
      <c r="B133" s="38">
        <v>45294</v>
      </c>
      <c r="C133" s="54">
        <v>1.0837000000000001</v>
      </c>
      <c r="D133" s="55">
        <v>1.0804</v>
      </c>
      <c r="E133" s="54">
        <v>1.0844</v>
      </c>
      <c r="F133" s="55">
        <v>1.0797000000000001</v>
      </c>
      <c r="G133" s="54"/>
      <c r="H133" s="37">
        <v>3.0999999999999999E-3</v>
      </c>
    </row>
    <row r="134" spans="2:8" x14ac:dyDescent="0.3">
      <c r="B134" s="34" t="s">
        <v>131</v>
      </c>
      <c r="C134" s="54">
        <v>1.0803</v>
      </c>
      <c r="D134" s="55">
        <v>1.0835999999999999</v>
      </c>
      <c r="E134" s="54">
        <v>1.0857000000000001</v>
      </c>
      <c r="F134" s="55">
        <v>1.0794999999999999</v>
      </c>
      <c r="G134" s="54"/>
      <c r="H134" s="37">
        <v>-3.0000000000000001E-3</v>
      </c>
    </row>
    <row r="135" spans="2:8" x14ac:dyDescent="0.3">
      <c r="B135" s="34" t="s">
        <v>132</v>
      </c>
      <c r="C135" s="54">
        <v>1.0835999999999999</v>
      </c>
      <c r="D135" s="55">
        <v>1.0844</v>
      </c>
      <c r="E135" s="54">
        <v>1.0848</v>
      </c>
      <c r="F135" s="55">
        <v>1.0795999999999999</v>
      </c>
      <c r="G135" s="54"/>
      <c r="H135" s="37">
        <v>-6.9999999999999999E-4</v>
      </c>
    </row>
    <row r="136" spans="2:8" x14ac:dyDescent="0.3">
      <c r="B136" s="34" t="s">
        <v>133</v>
      </c>
      <c r="C136" s="54">
        <v>1.0844</v>
      </c>
      <c r="D136" s="55">
        <v>1.085</v>
      </c>
      <c r="E136" s="54">
        <v>1.0867</v>
      </c>
      <c r="F136" s="55">
        <v>1.0831999999999999</v>
      </c>
      <c r="G136" s="54"/>
      <c r="H136" s="37">
        <v>-2.9999999999999997E-4</v>
      </c>
    </row>
    <row r="137" spans="2:8" x14ac:dyDescent="0.3">
      <c r="B137" s="34" t="s">
        <v>134</v>
      </c>
      <c r="C137" s="54">
        <v>1.0847</v>
      </c>
      <c r="D137" s="55">
        <v>1.0826</v>
      </c>
      <c r="E137" s="54">
        <v>1.0861000000000001</v>
      </c>
      <c r="F137" s="55">
        <v>1.0811999999999999</v>
      </c>
      <c r="G137" s="54"/>
      <c r="H137" s="37">
        <v>2.7000000000000001E-3</v>
      </c>
    </row>
    <row r="138" spans="2:8" x14ac:dyDescent="0.3">
      <c r="B138" s="34" t="s">
        <v>135</v>
      </c>
      <c r="C138" s="54">
        <v>1.0818000000000001</v>
      </c>
      <c r="D138" s="55">
        <v>1.0824</v>
      </c>
      <c r="E138" s="54">
        <v>1.0841000000000001</v>
      </c>
      <c r="F138" s="55">
        <v>1.0811999999999999</v>
      </c>
      <c r="G138" s="54"/>
      <c r="H138" s="37">
        <v>-5.0000000000000001E-4</v>
      </c>
    </row>
    <row r="139" spans="2:8" x14ac:dyDescent="0.3">
      <c r="B139" s="34" t="s">
        <v>136</v>
      </c>
      <c r="C139" s="54">
        <v>1.0823</v>
      </c>
      <c r="D139" s="55">
        <v>1.0815999999999999</v>
      </c>
      <c r="E139" s="54">
        <v>1.0889</v>
      </c>
      <c r="F139" s="55">
        <v>1.0802</v>
      </c>
      <c r="G139" s="54"/>
      <c r="H139" s="37">
        <v>5.9999999999999995E-4</v>
      </c>
    </row>
    <row r="140" spans="2:8" x14ac:dyDescent="0.3">
      <c r="B140" s="34" t="s">
        <v>137</v>
      </c>
      <c r="C140" s="54">
        <v>1.0817000000000001</v>
      </c>
      <c r="D140" s="55">
        <v>1.0807</v>
      </c>
      <c r="E140" s="54">
        <v>1.0825</v>
      </c>
      <c r="F140" s="55">
        <v>1.079</v>
      </c>
      <c r="G140" s="54"/>
      <c r="H140" s="37">
        <v>1.2999999999999999E-3</v>
      </c>
    </row>
    <row r="141" spans="2:8" x14ac:dyDescent="0.3">
      <c r="B141" s="34" t="s">
        <v>138</v>
      </c>
      <c r="C141" s="54">
        <v>1.0803</v>
      </c>
      <c r="D141" s="55">
        <v>1.0779000000000001</v>
      </c>
      <c r="E141" s="54">
        <v>1.0840000000000001</v>
      </c>
      <c r="F141" s="55">
        <v>1.0761000000000001</v>
      </c>
      <c r="G141" s="54"/>
      <c r="H141" s="37">
        <v>2.3999999999999998E-3</v>
      </c>
    </row>
    <row r="142" spans="2:8" x14ac:dyDescent="0.3">
      <c r="B142" s="34" t="s">
        <v>139</v>
      </c>
      <c r="C142" s="54">
        <v>1.0777000000000001</v>
      </c>
      <c r="D142" s="55">
        <v>1.0775999999999999</v>
      </c>
      <c r="E142" s="54">
        <v>1.079</v>
      </c>
      <c r="F142" s="55">
        <v>1.0761000000000001</v>
      </c>
      <c r="G142" s="54"/>
      <c r="H142" s="37">
        <v>2.9999999999999997E-4</v>
      </c>
    </row>
    <row r="143" spans="2:8" x14ac:dyDescent="0.3">
      <c r="B143" s="34" t="s">
        <v>140</v>
      </c>
      <c r="C143" s="54">
        <v>1.0773999999999999</v>
      </c>
      <c r="D143" s="55">
        <v>1.077</v>
      </c>
      <c r="E143" s="54">
        <v>1.0788</v>
      </c>
      <c r="F143" s="55">
        <v>1.0731999999999999</v>
      </c>
      <c r="G143" s="54"/>
      <c r="H143" s="37">
        <v>2.9999999999999997E-4</v>
      </c>
    </row>
    <row r="144" spans="2:8" x14ac:dyDescent="0.3">
      <c r="B144" s="34" t="s">
        <v>141</v>
      </c>
      <c r="C144" s="54">
        <v>1.0770999999999999</v>
      </c>
      <c r="D144" s="55">
        <v>1.0727</v>
      </c>
      <c r="E144" s="54">
        <v>1.0785</v>
      </c>
      <c r="F144" s="55">
        <v>1.0725</v>
      </c>
      <c r="G144" s="54"/>
      <c r="H144" s="37">
        <v>4.3E-3</v>
      </c>
    </row>
    <row r="145" spans="2:8" x14ac:dyDescent="0.3">
      <c r="B145" s="34" t="s">
        <v>142</v>
      </c>
      <c r="C145" s="54">
        <v>1.0725</v>
      </c>
      <c r="D145" s="55">
        <v>1.071</v>
      </c>
      <c r="E145" s="54">
        <v>1.0734999999999999</v>
      </c>
      <c r="F145" s="55">
        <v>1.0694999999999999</v>
      </c>
      <c r="G145" s="54"/>
      <c r="H145" s="37">
        <v>1.5E-3</v>
      </c>
    </row>
    <row r="146" spans="2:8" x14ac:dyDescent="0.3">
      <c r="B146" s="34" t="s">
        <v>143</v>
      </c>
      <c r="C146" s="54">
        <v>1.0709</v>
      </c>
      <c r="D146" s="55">
        <v>1.0771999999999999</v>
      </c>
      <c r="E146" s="54">
        <v>1.0795999999999999</v>
      </c>
      <c r="F146" s="55">
        <v>1.07</v>
      </c>
      <c r="G146" s="54"/>
      <c r="H146" s="37">
        <v>-5.7999999999999996E-3</v>
      </c>
    </row>
    <row r="147" spans="2:8" x14ac:dyDescent="0.3">
      <c r="B147" s="38">
        <v>45628</v>
      </c>
      <c r="C147" s="54">
        <v>1.0770999999999999</v>
      </c>
      <c r="D147" s="55">
        <v>1.0781000000000001</v>
      </c>
      <c r="E147" s="54">
        <v>1.0806</v>
      </c>
      <c r="F147" s="55">
        <v>1.0754999999999999</v>
      </c>
      <c r="G147" s="54"/>
      <c r="H147" s="37">
        <v>-1E-3</v>
      </c>
    </row>
    <row r="148" spans="2:8" x14ac:dyDescent="0.3">
      <c r="B148" s="38">
        <v>45537</v>
      </c>
      <c r="C148" s="54">
        <v>1.0782</v>
      </c>
      <c r="D148" s="55">
        <v>1.0779000000000001</v>
      </c>
      <c r="E148" s="54">
        <v>1.0795999999999999</v>
      </c>
      <c r="F148" s="55">
        <v>1.0761000000000001</v>
      </c>
      <c r="G148" s="54"/>
      <c r="H148" s="37">
        <v>5.9999999999999995E-4</v>
      </c>
    </row>
    <row r="149" spans="2:8" x14ac:dyDescent="0.3">
      <c r="B149" s="38">
        <v>45506</v>
      </c>
      <c r="C149" s="54">
        <v>1.0775999999999999</v>
      </c>
      <c r="D149" s="55">
        <v>1.0771999999999999</v>
      </c>
      <c r="E149" s="54">
        <v>1.079</v>
      </c>
      <c r="F149" s="55">
        <v>1.0741000000000001</v>
      </c>
      <c r="G149" s="54"/>
      <c r="H149" s="37">
        <v>5.0000000000000001E-4</v>
      </c>
    </row>
    <row r="150" spans="2:8" x14ac:dyDescent="0.3">
      <c r="B150" s="38">
        <v>45475</v>
      </c>
      <c r="C150" s="54">
        <v>1.0770999999999999</v>
      </c>
      <c r="D150" s="55">
        <v>1.0754999999999999</v>
      </c>
      <c r="E150" s="54">
        <v>1.0784</v>
      </c>
      <c r="F150" s="55">
        <v>1.0752999999999999</v>
      </c>
      <c r="G150" s="54"/>
      <c r="H150" s="37">
        <v>1.6000000000000001E-3</v>
      </c>
    </row>
    <row r="151" spans="2:8" x14ac:dyDescent="0.3">
      <c r="B151" s="38">
        <v>45445</v>
      </c>
      <c r="C151" s="54">
        <v>1.0753999999999999</v>
      </c>
      <c r="D151" s="55">
        <v>1.0743</v>
      </c>
      <c r="E151" s="54">
        <v>1.0763</v>
      </c>
      <c r="F151" s="55">
        <v>1.0723</v>
      </c>
      <c r="G151" s="54"/>
      <c r="H151" s="37">
        <v>1.1999999999999999E-3</v>
      </c>
    </row>
    <row r="152" spans="2:8" x14ac:dyDescent="0.3">
      <c r="B152" s="38">
        <v>45414</v>
      </c>
      <c r="C152" s="54">
        <v>1.0741000000000001</v>
      </c>
      <c r="D152" s="55">
        <v>1.0784</v>
      </c>
      <c r="E152" s="54">
        <v>1.0787</v>
      </c>
      <c r="F152" s="55">
        <v>1.0723</v>
      </c>
      <c r="G152" s="54"/>
      <c r="H152" s="37">
        <v>-4.0000000000000001E-3</v>
      </c>
    </row>
    <row r="153" spans="2:8" x14ac:dyDescent="0.3">
      <c r="B153" s="38">
        <v>45324</v>
      </c>
      <c r="C153" s="54">
        <v>1.0784</v>
      </c>
      <c r="D153" s="55">
        <v>1.0872999999999999</v>
      </c>
      <c r="E153" s="54">
        <v>1.0898000000000001</v>
      </c>
      <c r="F153" s="55">
        <v>1.0780000000000001</v>
      </c>
      <c r="G153" s="54"/>
      <c r="H153" s="37">
        <v>-8.0999999999999996E-3</v>
      </c>
    </row>
    <row r="154" spans="2:8" x14ac:dyDescent="0.3">
      <c r="B154" s="38">
        <v>45293</v>
      </c>
      <c r="C154" s="54">
        <v>1.0871999999999999</v>
      </c>
      <c r="D154" s="55">
        <v>1.0813999999999999</v>
      </c>
      <c r="E154" s="54">
        <v>1.0875999999999999</v>
      </c>
      <c r="F154" s="55">
        <v>1.0779000000000001</v>
      </c>
      <c r="G154" s="54"/>
      <c r="H154" s="37">
        <v>5.1999999999999998E-3</v>
      </c>
    </row>
    <row r="155" spans="2:8" x14ac:dyDescent="0.3">
      <c r="B155" s="34" t="s">
        <v>144</v>
      </c>
      <c r="C155" s="54">
        <v>1.0815999999999999</v>
      </c>
      <c r="D155" s="55">
        <v>1.0844</v>
      </c>
      <c r="E155" s="54">
        <v>1.0889</v>
      </c>
      <c r="F155" s="55">
        <v>1.0794999999999999</v>
      </c>
      <c r="G155" s="54"/>
      <c r="H155" s="37">
        <v>-2.2000000000000001E-3</v>
      </c>
    </row>
    <row r="156" spans="2:8" x14ac:dyDescent="0.3">
      <c r="B156" s="34" t="s">
        <v>145</v>
      </c>
      <c r="C156" s="54">
        <v>1.0840000000000001</v>
      </c>
      <c r="D156" s="55">
        <v>1.0832999999999999</v>
      </c>
      <c r="E156" s="54">
        <v>1.0857000000000001</v>
      </c>
      <c r="F156" s="55">
        <v>1.0810999999999999</v>
      </c>
      <c r="G156" s="54"/>
      <c r="H156" s="37">
        <v>5.9999999999999995E-4</v>
      </c>
    </row>
    <row r="157" spans="2:8" x14ac:dyDescent="0.3">
      <c r="B157" s="34" t="s">
        <v>146</v>
      </c>
      <c r="C157" s="54">
        <v>1.0832999999999999</v>
      </c>
      <c r="D157" s="55">
        <v>1.0849</v>
      </c>
      <c r="E157" s="54">
        <v>1.085</v>
      </c>
      <c r="F157" s="55">
        <v>1.0795999999999999</v>
      </c>
      <c r="G157" s="54"/>
      <c r="H157" s="37">
        <v>-1.8E-3</v>
      </c>
    </row>
    <row r="158" spans="2:8" x14ac:dyDescent="0.3">
      <c r="B158" s="34" t="s">
        <v>147</v>
      </c>
      <c r="C158" s="54">
        <v>1.0851999999999999</v>
      </c>
      <c r="D158" s="55">
        <v>1.0843</v>
      </c>
      <c r="E158" s="54">
        <v>1.0885</v>
      </c>
      <c r="F158" s="55">
        <v>1.0811999999999999</v>
      </c>
      <c r="G158" s="54"/>
      <c r="H158" s="37">
        <v>5.9999999999999995E-4</v>
      </c>
    </row>
    <row r="159" spans="2:8" x14ac:dyDescent="0.3">
      <c r="B159" s="34" t="s">
        <v>148</v>
      </c>
      <c r="C159" s="54">
        <v>1.0846</v>
      </c>
      <c r="D159" s="55">
        <v>1.0885</v>
      </c>
      <c r="E159" s="54">
        <v>1.0903</v>
      </c>
      <c r="F159" s="55">
        <v>1.0821000000000001</v>
      </c>
      <c r="G159" s="54"/>
      <c r="H159" s="37">
        <v>-3.3999999999999998E-3</v>
      </c>
    </row>
    <row r="160" spans="2:8" x14ac:dyDescent="0.3">
      <c r="B160" s="34" t="s">
        <v>149</v>
      </c>
      <c r="C160" s="54">
        <v>1.0883</v>
      </c>
      <c r="D160" s="55">
        <v>1.0853999999999999</v>
      </c>
      <c r="E160" s="54">
        <v>1.0932999999999999</v>
      </c>
      <c r="F160" s="55">
        <v>1.0845</v>
      </c>
      <c r="G160" s="54"/>
      <c r="H160" s="37">
        <v>2.8999999999999998E-3</v>
      </c>
    </row>
    <row r="161" spans="2:8" x14ac:dyDescent="0.3">
      <c r="B161" s="34" t="s">
        <v>150</v>
      </c>
      <c r="C161" s="54">
        <v>1.0851</v>
      </c>
      <c r="D161" s="55">
        <v>1.0883</v>
      </c>
      <c r="E161" s="54">
        <v>1.0916999999999999</v>
      </c>
      <c r="F161" s="55">
        <v>1.0821000000000001</v>
      </c>
      <c r="G161" s="54"/>
      <c r="H161" s="37">
        <v>-2.8E-3</v>
      </c>
    </row>
    <row r="162" spans="2:8" x14ac:dyDescent="0.3">
      <c r="B162" s="34" t="s">
        <v>151</v>
      </c>
      <c r="C162" s="54">
        <v>1.0881000000000001</v>
      </c>
      <c r="D162" s="55">
        <v>1.0891</v>
      </c>
      <c r="E162" s="54">
        <v>1.0911</v>
      </c>
      <c r="F162" s="55">
        <v>1.0879000000000001</v>
      </c>
      <c r="G162" s="54"/>
      <c r="H162" s="37">
        <v>-1.5E-3</v>
      </c>
    </row>
    <row r="163" spans="2:8" x14ac:dyDescent="0.3">
      <c r="B163" s="34" t="s">
        <v>152</v>
      </c>
      <c r="C163" s="54">
        <v>1.0896999999999999</v>
      </c>
      <c r="D163" s="55">
        <v>1.0875999999999999</v>
      </c>
      <c r="E163" s="54">
        <v>1.0898000000000001</v>
      </c>
      <c r="F163" s="55">
        <v>1.0865</v>
      </c>
      <c r="G163" s="54"/>
      <c r="H163" s="37">
        <v>2.0999999999999999E-3</v>
      </c>
    </row>
    <row r="164" spans="2:8" x14ac:dyDescent="0.3">
      <c r="B164" s="34" t="s">
        <v>153</v>
      </c>
      <c r="C164" s="54">
        <v>1.0873999999999999</v>
      </c>
      <c r="D164" s="55">
        <v>1.0882000000000001</v>
      </c>
      <c r="E164" s="54">
        <v>1.0907</v>
      </c>
      <c r="F164" s="55">
        <v>1.0846</v>
      </c>
      <c r="G164" s="54"/>
      <c r="H164" s="37">
        <v>-5.9999999999999995E-4</v>
      </c>
    </row>
    <row r="165" spans="2:8" x14ac:dyDescent="0.3">
      <c r="B165" s="34" t="s">
        <v>154</v>
      </c>
      <c r="C165" s="54">
        <v>1.0881000000000001</v>
      </c>
      <c r="D165" s="55">
        <v>1.0873999999999999</v>
      </c>
      <c r="E165" s="54">
        <v>1.0885</v>
      </c>
      <c r="F165" s="55">
        <v>1.0844</v>
      </c>
      <c r="G165" s="54"/>
      <c r="H165" s="37">
        <v>5.9999999999999995E-4</v>
      </c>
    </row>
    <row r="166" spans="2:8" x14ac:dyDescent="0.3">
      <c r="B166" s="34" t="s">
        <v>155</v>
      </c>
      <c r="C166" s="54">
        <v>1.0873999999999999</v>
      </c>
      <c r="D166" s="55">
        <v>1.095</v>
      </c>
      <c r="E166" s="54">
        <v>1.0952</v>
      </c>
      <c r="F166" s="55">
        <v>1.0862000000000001</v>
      </c>
      <c r="G166" s="54"/>
      <c r="H166" s="37">
        <v>-6.7999999999999996E-3</v>
      </c>
    </row>
    <row r="167" spans="2:8" x14ac:dyDescent="0.3">
      <c r="B167" s="34" t="s">
        <v>156</v>
      </c>
      <c r="C167" s="54">
        <v>1.0948</v>
      </c>
      <c r="D167" s="55">
        <v>1.0954999999999999</v>
      </c>
      <c r="E167" s="54">
        <v>1.0969</v>
      </c>
      <c r="F167" s="55">
        <v>1.0932999999999999</v>
      </c>
      <c r="G167" s="54"/>
      <c r="H167" s="37">
        <v>-1E-4</v>
      </c>
    </row>
    <row r="168" spans="2:8" x14ac:dyDescent="0.3">
      <c r="B168" s="38">
        <v>45627</v>
      </c>
      <c r="C168" s="54">
        <v>1.0949</v>
      </c>
      <c r="D168" s="55">
        <v>1.0973999999999999</v>
      </c>
      <c r="E168" s="54">
        <v>1.0987</v>
      </c>
      <c r="F168" s="55">
        <v>1.0934999999999999</v>
      </c>
      <c r="G168" s="54"/>
      <c r="H168" s="37">
        <v>-1.9E-3</v>
      </c>
    </row>
    <row r="169" spans="2:8" x14ac:dyDescent="0.3">
      <c r="B169" s="38">
        <v>45597</v>
      </c>
      <c r="C169" s="54">
        <v>1.097</v>
      </c>
      <c r="D169" s="55">
        <v>1.0972999999999999</v>
      </c>
      <c r="E169" s="54">
        <v>1.0991</v>
      </c>
      <c r="F169" s="55">
        <v>1.0929</v>
      </c>
      <c r="G169" s="54"/>
      <c r="H169" s="37">
        <v>-1E-4</v>
      </c>
    </row>
    <row r="170" spans="2:8" x14ac:dyDescent="0.3">
      <c r="B170" s="38">
        <v>45566</v>
      </c>
      <c r="C170" s="54">
        <v>1.0971</v>
      </c>
      <c r="D170" s="55">
        <v>1.0931</v>
      </c>
      <c r="E170" s="54">
        <v>1.0973999999999999</v>
      </c>
      <c r="F170" s="55">
        <v>1.0922000000000001</v>
      </c>
      <c r="G170" s="54"/>
      <c r="H170" s="37">
        <v>3.7000000000000002E-3</v>
      </c>
    </row>
    <row r="171" spans="2:8" x14ac:dyDescent="0.3">
      <c r="B171" s="38">
        <v>45536</v>
      </c>
      <c r="C171" s="54">
        <v>1.0931</v>
      </c>
      <c r="D171" s="55">
        <v>1.0952</v>
      </c>
      <c r="E171" s="54">
        <v>1.0967</v>
      </c>
      <c r="F171" s="55">
        <v>1.091</v>
      </c>
      <c r="G171" s="54"/>
      <c r="H171" s="37">
        <v>-1.6000000000000001E-3</v>
      </c>
    </row>
    <row r="172" spans="2:8" x14ac:dyDescent="0.3">
      <c r="B172" s="38">
        <v>45505</v>
      </c>
      <c r="C172" s="54">
        <v>1.0949</v>
      </c>
      <c r="D172" s="55">
        <v>1.0946</v>
      </c>
      <c r="E172" s="54">
        <v>1.0979000000000001</v>
      </c>
      <c r="F172" s="55">
        <v>1.0922000000000001</v>
      </c>
      <c r="G172" s="54"/>
      <c r="H172" s="37">
        <v>6.9999999999999999E-4</v>
      </c>
    </row>
    <row r="173" spans="2:8" x14ac:dyDescent="0.3">
      <c r="B173" s="38">
        <v>45413</v>
      </c>
      <c r="C173" s="54">
        <v>1.0941000000000001</v>
      </c>
      <c r="D173" s="55">
        <v>1.0947</v>
      </c>
      <c r="E173" s="54">
        <v>1.0999000000000001</v>
      </c>
      <c r="F173" s="55">
        <v>1.0875999999999999</v>
      </c>
      <c r="G173" s="54"/>
      <c r="H173" s="37">
        <v>-2.0000000000000001E-4</v>
      </c>
    </row>
    <row r="174" spans="2:8" x14ac:dyDescent="0.3">
      <c r="B174" s="38">
        <v>45383</v>
      </c>
      <c r="C174" s="54">
        <v>1.0943000000000001</v>
      </c>
      <c r="D174" s="55">
        <v>1.0921000000000001</v>
      </c>
      <c r="E174" s="54">
        <v>1.0972999999999999</v>
      </c>
      <c r="F174" s="55">
        <v>1.0914999999999999</v>
      </c>
      <c r="G174" s="54"/>
      <c r="H174" s="37">
        <v>2E-3</v>
      </c>
    </row>
    <row r="175" spans="2:8" x14ac:dyDescent="0.3">
      <c r="B175" s="38">
        <v>45352</v>
      </c>
      <c r="C175" s="54">
        <v>1.0921000000000001</v>
      </c>
      <c r="D175" s="55">
        <v>1.0943000000000001</v>
      </c>
      <c r="E175" s="54">
        <v>1.0966</v>
      </c>
      <c r="F175" s="55">
        <v>1.0891999999999999</v>
      </c>
      <c r="G175" s="54"/>
      <c r="H175" s="37">
        <v>-2.3999999999999998E-3</v>
      </c>
    </row>
    <row r="176" spans="2:8" x14ac:dyDescent="0.3">
      <c r="B176" s="38">
        <v>45323</v>
      </c>
      <c r="C176" s="54">
        <v>1.0947</v>
      </c>
      <c r="D176" s="55">
        <v>1.1044</v>
      </c>
      <c r="E176" s="54">
        <v>1.1046</v>
      </c>
      <c r="F176" s="55">
        <v>1.0938000000000001</v>
      </c>
      <c r="G176" s="54"/>
      <c r="H176" s="37">
        <v>-8.8000000000000005E-3</v>
      </c>
    </row>
    <row r="177" spans="2:8" ht="15" thickBot="1" x14ac:dyDescent="0.35">
      <c r="B177" s="51">
        <v>45292</v>
      </c>
      <c r="C177" s="65">
        <v>1.1044</v>
      </c>
      <c r="D177" s="66">
        <v>1.1044</v>
      </c>
      <c r="E177" s="65">
        <v>1.1048</v>
      </c>
      <c r="F177" s="66">
        <v>1.1035999999999999</v>
      </c>
      <c r="G177" s="65"/>
      <c r="H177" s="39">
        <v>6.9999999999999999E-4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F207-5B3D-42AB-9649-14DE98E5C7A5}">
  <dimension ref="B1:AF198"/>
  <sheetViews>
    <sheetView topLeftCell="A163" zoomScale="120" zoomScaleNormal="120" workbookViewId="0">
      <selection activeCell="H175" sqref="H175"/>
    </sheetView>
  </sheetViews>
  <sheetFormatPr defaultRowHeight="14.4" x14ac:dyDescent="0.3"/>
  <cols>
    <col min="2" max="2" width="17.21875" style="4" customWidth="1"/>
    <col min="3" max="3" width="8.5546875" style="55" customWidth="1"/>
    <col min="4" max="6" width="8.88671875" style="55"/>
    <col min="7" max="8" width="8.88671875" style="59"/>
    <col min="9" max="9" width="8.88671875" style="59" customWidth="1"/>
    <col min="10" max="10" width="9.21875" style="59" customWidth="1"/>
    <col min="11" max="11" width="8.88671875" style="59"/>
    <col min="12" max="15" width="12.6640625" style="60" bestFit="1" customWidth="1"/>
    <col min="16" max="16" width="11.5546875" style="60" bestFit="1" customWidth="1"/>
    <col min="17" max="22" width="12.6640625" style="60" bestFit="1" customWidth="1"/>
    <col min="23" max="26" width="11.5546875" style="60" bestFit="1" customWidth="1"/>
    <col min="27" max="32" width="8.88671875" style="1"/>
  </cols>
  <sheetData>
    <row r="1" spans="2:26" ht="15" thickBot="1" x14ac:dyDescent="0.35"/>
    <row r="2" spans="2:26" ht="15" thickBot="1" x14ac:dyDescent="0.35">
      <c r="B2" s="16" t="s">
        <v>0</v>
      </c>
      <c r="C2" s="53" t="s">
        <v>1</v>
      </c>
      <c r="D2" s="52" t="s">
        <v>2</v>
      </c>
      <c r="E2" s="53" t="s">
        <v>3</v>
      </c>
      <c r="F2" s="52" t="s">
        <v>4</v>
      </c>
      <c r="G2" s="67" t="s">
        <v>45</v>
      </c>
      <c r="H2" s="56" t="s">
        <v>46</v>
      </c>
      <c r="I2" s="57" t="s">
        <v>47</v>
      </c>
      <c r="J2" s="56" t="s">
        <v>48</v>
      </c>
      <c r="K2" s="57" t="s">
        <v>49</v>
      </c>
      <c r="L2" s="62" t="s">
        <v>50</v>
      </c>
      <c r="M2" s="70" t="s">
        <v>51</v>
      </c>
      <c r="N2" s="62" t="s">
        <v>52</v>
      </c>
      <c r="O2" s="70" t="s">
        <v>53</v>
      </c>
      <c r="P2" s="62" t="s">
        <v>54</v>
      </c>
      <c r="Q2" s="70" t="s">
        <v>55</v>
      </c>
      <c r="R2" s="62" t="s">
        <v>56</v>
      </c>
      <c r="S2" s="70" t="s">
        <v>57</v>
      </c>
      <c r="T2" s="62" t="s">
        <v>58</v>
      </c>
      <c r="U2" s="70" t="s">
        <v>59</v>
      </c>
      <c r="V2" s="62" t="s">
        <v>60</v>
      </c>
      <c r="W2" s="70" t="s">
        <v>61</v>
      </c>
      <c r="X2" s="62" t="s">
        <v>62</v>
      </c>
      <c r="Y2" s="70" t="s">
        <v>63</v>
      </c>
      <c r="Z2" s="62" t="s">
        <v>64</v>
      </c>
    </row>
    <row r="3" spans="2:26" x14ac:dyDescent="0.3">
      <c r="B3" s="9" t="s">
        <v>7</v>
      </c>
      <c r="C3" s="54">
        <v>1.1047</v>
      </c>
      <c r="D3" s="55">
        <v>1.1076999999999999</v>
      </c>
      <c r="E3" s="54">
        <v>1.1094999999999999</v>
      </c>
      <c r="F3" s="84">
        <v>1.1044</v>
      </c>
      <c r="G3" s="81">
        <f>AVERAGE(D4:D8)</f>
        <v>1.1153</v>
      </c>
      <c r="H3" s="58">
        <f>AVERAGE(E4:E8)</f>
        <v>1.1184000000000001</v>
      </c>
      <c r="I3" s="59">
        <f>AVERAGE(F4:F8)</f>
        <v>1.1113000000000002</v>
      </c>
      <c r="J3" s="58">
        <f>AVERAGE(C4:C8)</f>
        <v>1.1146400000000001</v>
      </c>
      <c r="K3" s="59">
        <f>C3</f>
        <v>1.1047</v>
      </c>
      <c r="L3" s="61">
        <f>G3^2</f>
        <v>1.24389409</v>
      </c>
      <c r="M3" s="60">
        <f>H3^2</f>
        <v>1.2508185600000001</v>
      </c>
      <c r="N3" s="61">
        <f>I3^2</f>
        <v>1.2349876900000003</v>
      </c>
      <c r="O3" s="60">
        <f>J3^2</f>
        <v>1.2424223296000001</v>
      </c>
      <c r="P3" s="61">
        <f>K3^2</f>
        <v>1.2203620900000001</v>
      </c>
      <c r="Q3" s="60">
        <f>G3*H3</f>
        <v>1.24735152</v>
      </c>
      <c r="R3" s="61">
        <f>G3*I3</f>
        <v>1.2394328900000002</v>
      </c>
      <c r="S3" s="60">
        <f>G3*J3</f>
        <v>1.243157992</v>
      </c>
      <c r="T3" s="61">
        <f>H3*I3</f>
        <v>1.2428779200000002</v>
      </c>
      <c r="U3" s="60">
        <f>H3*J3</f>
        <v>1.2466133760000002</v>
      </c>
      <c r="V3" s="61">
        <f>I3*J3</f>
        <v>1.2386994320000002</v>
      </c>
      <c r="W3" s="60">
        <f>G3*K3</f>
        <v>1.2320719099999999</v>
      </c>
      <c r="X3" s="61">
        <f>H3*K3</f>
        <v>1.2354964800000001</v>
      </c>
      <c r="Y3" s="60">
        <f>I3*K3</f>
        <v>1.2276531100000001</v>
      </c>
      <c r="Z3" s="61">
        <f>J3*K3</f>
        <v>1.2313428080000002</v>
      </c>
    </row>
    <row r="4" spans="2:26" x14ac:dyDescent="0.3">
      <c r="B4" s="9" t="s">
        <v>8</v>
      </c>
      <c r="C4" s="54">
        <v>1.1076999999999999</v>
      </c>
      <c r="D4" s="55">
        <v>1.1119000000000001</v>
      </c>
      <c r="E4" s="54">
        <v>1.1141000000000001</v>
      </c>
      <c r="F4" s="54">
        <v>1.1054999999999999</v>
      </c>
      <c r="G4" s="82">
        <f t="shared" ref="G4:I18" si="0">AVERAGE(D5:D9)</f>
        <v>1.11592</v>
      </c>
      <c r="H4" s="58">
        <f t="shared" si="0"/>
        <v>1.1188800000000001</v>
      </c>
      <c r="I4" s="59">
        <f t="shared" si="0"/>
        <v>1.1121400000000001</v>
      </c>
      <c r="J4" s="58">
        <f t="shared" ref="J4:J52" si="1">AVERAGE(C5:C9)</f>
        <v>1.1153400000000002</v>
      </c>
      <c r="K4" s="59">
        <f t="shared" ref="K4:K52" si="2">C4</f>
        <v>1.1076999999999999</v>
      </c>
      <c r="L4" s="61">
        <f t="shared" ref="L4:P52" si="3">G4^2</f>
        <v>1.2452774464</v>
      </c>
      <c r="M4" s="60">
        <f t="shared" si="3"/>
        <v>1.2518924544000003</v>
      </c>
      <c r="N4" s="61">
        <f t="shared" si="3"/>
        <v>1.2368553796000004</v>
      </c>
      <c r="O4" s="60">
        <f t="shared" si="3"/>
        <v>1.2439833156000004</v>
      </c>
      <c r="P4" s="61">
        <f t="shared" si="3"/>
        <v>1.2269992899999997</v>
      </c>
      <c r="Q4" s="60">
        <f t="shared" ref="Q4:Q52" si="4">G4*H4</f>
        <v>1.2485805696000001</v>
      </c>
      <c r="R4" s="61">
        <f t="shared" ref="R4:R52" si="5">G4*I4</f>
        <v>1.2410592688000002</v>
      </c>
      <c r="S4" s="60">
        <f t="shared" ref="S4:S52" si="6">G4*J4</f>
        <v>1.2446302128000002</v>
      </c>
      <c r="T4" s="61">
        <f t="shared" ref="T4:T52" si="7">H4*I4</f>
        <v>1.2443512032000001</v>
      </c>
      <c r="U4" s="60">
        <f t="shared" ref="U4:U52" si="8">H4*J4</f>
        <v>1.2479316192000003</v>
      </c>
      <c r="V4" s="61">
        <f t="shared" ref="V4:V52" si="9">I4*J4</f>
        <v>1.2404142276000003</v>
      </c>
      <c r="W4" s="60">
        <f t="shared" ref="W4:W52" si="10">G4*K4</f>
        <v>1.236104584</v>
      </c>
      <c r="X4" s="61">
        <f t="shared" ref="X4:X52" si="11">H4*K4</f>
        <v>1.2393833759999999</v>
      </c>
      <c r="Y4" s="60">
        <f t="shared" ref="Y4:Y52" si="12">I4*K4</f>
        <v>1.231917478</v>
      </c>
      <c r="Z4" s="61">
        <f t="shared" ref="Z4:Z50" si="13">J4*K4</f>
        <v>1.2354621180000001</v>
      </c>
    </row>
    <row r="5" spans="2:26" x14ac:dyDescent="0.3">
      <c r="B5" s="9" t="s">
        <v>9</v>
      </c>
      <c r="C5" s="54">
        <v>1.1120000000000001</v>
      </c>
      <c r="D5" s="55">
        <v>1.1184000000000001</v>
      </c>
      <c r="E5" s="54">
        <v>1.1186</v>
      </c>
      <c r="F5" s="54">
        <v>1.1105</v>
      </c>
      <c r="G5" s="82">
        <f>AVERAGE(D6:D10)</f>
        <v>1.1148</v>
      </c>
      <c r="H5" s="58">
        <f>AVERAGE(E6:E10)</f>
        <v>1.1186200000000002</v>
      </c>
      <c r="I5" s="59">
        <f t="shared" si="0"/>
        <v>1.11202</v>
      </c>
      <c r="J5" s="58">
        <f t="shared" si="1"/>
        <v>1.1159400000000002</v>
      </c>
      <c r="K5" s="59">
        <f t="shared" si="2"/>
        <v>1.1120000000000001</v>
      </c>
      <c r="L5" s="61">
        <f t="shared" si="3"/>
        <v>1.2427790400000001</v>
      </c>
      <c r="M5" s="60">
        <f t="shared" si="3"/>
        <v>1.2513107044000005</v>
      </c>
      <c r="N5" s="61">
        <f t="shared" si="3"/>
        <v>1.2365884804</v>
      </c>
      <c r="O5" s="60">
        <f t="shared" si="3"/>
        <v>1.2453220836000003</v>
      </c>
      <c r="P5" s="61">
        <f t="shared" si="3"/>
        <v>1.2365440000000003</v>
      </c>
      <c r="Q5" s="60">
        <f t="shared" si="4"/>
        <v>1.2470375760000003</v>
      </c>
      <c r="R5" s="61">
        <f t="shared" si="5"/>
        <v>1.2396798959999999</v>
      </c>
      <c r="S5" s="60">
        <f t="shared" si="6"/>
        <v>1.2440499120000001</v>
      </c>
      <c r="T5" s="61">
        <f t="shared" si="7"/>
        <v>1.2439278124000002</v>
      </c>
      <c r="U5" s="60">
        <f t="shared" si="8"/>
        <v>1.2483128028000003</v>
      </c>
      <c r="V5" s="61">
        <f t="shared" si="9"/>
        <v>1.2409475988000003</v>
      </c>
      <c r="W5" s="60">
        <f t="shared" si="10"/>
        <v>1.2396576000000001</v>
      </c>
      <c r="X5" s="61">
        <f t="shared" si="11"/>
        <v>1.2439054400000003</v>
      </c>
      <c r="Y5" s="60">
        <f t="shared" si="12"/>
        <v>1.2365662400000001</v>
      </c>
      <c r="Z5" s="61">
        <f t="shared" si="13"/>
        <v>1.2409252800000004</v>
      </c>
    </row>
    <row r="6" spans="2:26" x14ac:dyDescent="0.3">
      <c r="B6" s="9" t="s">
        <v>10</v>
      </c>
      <c r="C6" s="54">
        <v>1.1184000000000001</v>
      </c>
      <c r="D6" s="55">
        <v>1.1161000000000001</v>
      </c>
      <c r="E6" s="54">
        <v>1.1191</v>
      </c>
      <c r="F6" s="54">
        <v>1.115</v>
      </c>
      <c r="G6" s="82">
        <f>AVERAGE(D7:D11)</f>
        <v>1.11328</v>
      </c>
      <c r="H6" s="58">
        <f t="shared" ref="H6:I21" si="14">AVERAGE(E7:E11)</f>
        <v>1.1173999999999999</v>
      </c>
      <c r="I6" s="59">
        <f t="shared" si="0"/>
        <v>1.1104400000000001</v>
      </c>
      <c r="J6" s="58">
        <f t="shared" si="1"/>
        <v>1.1148600000000002</v>
      </c>
      <c r="K6" s="59">
        <f>C6</f>
        <v>1.1184000000000001</v>
      </c>
      <c r="L6" s="61">
        <f t="shared" si="3"/>
        <v>1.2393923584000002</v>
      </c>
      <c r="M6" s="60">
        <f t="shared" si="3"/>
        <v>1.2485827599999999</v>
      </c>
      <c r="N6" s="61">
        <f t="shared" si="3"/>
        <v>1.2330769936000001</v>
      </c>
      <c r="O6" s="60">
        <f t="shared" si="3"/>
        <v>1.2429128196000003</v>
      </c>
      <c r="P6" s="61">
        <f t="shared" si="3"/>
        <v>1.2508185600000001</v>
      </c>
      <c r="Q6" s="60">
        <f t="shared" si="4"/>
        <v>1.2439790719999999</v>
      </c>
      <c r="R6" s="61">
        <f t="shared" si="5"/>
        <v>1.2362306432000001</v>
      </c>
      <c r="S6" s="60">
        <f t="shared" si="6"/>
        <v>1.2411513408000003</v>
      </c>
      <c r="T6" s="61">
        <f t="shared" si="7"/>
        <v>1.240805656</v>
      </c>
      <c r="U6" s="60">
        <f t="shared" si="8"/>
        <v>1.2457445640000002</v>
      </c>
      <c r="V6" s="61">
        <f t="shared" si="9"/>
        <v>1.2379851384000002</v>
      </c>
      <c r="W6" s="60">
        <f t="shared" si="10"/>
        <v>1.2450923520000001</v>
      </c>
      <c r="X6" s="61">
        <f t="shared" si="11"/>
        <v>1.2497001599999999</v>
      </c>
      <c r="Y6" s="60">
        <f t="shared" si="12"/>
        <v>1.2419160960000002</v>
      </c>
      <c r="Z6" s="61">
        <f t="shared" si="13"/>
        <v>1.2468594240000004</v>
      </c>
    </row>
    <row r="7" spans="2:26" x14ac:dyDescent="0.3">
      <c r="B7" s="9" t="s">
        <v>11</v>
      </c>
      <c r="C7" s="54">
        <v>1.1161000000000001</v>
      </c>
      <c r="D7" s="55">
        <v>1.1188</v>
      </c>
      <c r="E7" s="54">
        <v>1.1202000000000001</v>
      </c>
      <c r="F7" s="54">
        <v>1.115</v>
      </c>
      <c r="G7" s="82">
        <f t="shared" si="0"/>
        <v>1.1100000000000001</v>
      </c>
      <c r="H7" s="58">
        <f t="shared" si="14"/>
        <v>1.1150800000000003</v>
      </c>
      <c r="I7" s="59">
        <f t="shared" si="0"/>
        <v>1.1078800000000002</v>
      </c>
      <c r="J7" s="58">
        <f t="shared" si="1"/>
        <v>1.11334</v>
      </c>
      <c r="K7" s="59">
        <f t="shared" si="2"/>
        <v>1.1161000000000001</v>
      </c>
      <c r="L7" s="61">
        <f t="shared" si="3"/>
        <v>1.2321000000000002</v>
      </c>
      <c r="M7" s="60">
        <f t="shared" si="3"/>
        <v>1.2434034064000006</v>
      </c>
      <c r="N7" s="61">
        <f t="shared" si="3"/>
        <v>1.2273980944000005</v>
      </c>
      <c r="O7" s="60">
        <f t="shared" si="3"/>
        <v>1.2395259556</v>
      </c>
      <c r="P7" s="61">
        <f t="shared" si="3"/>
        <v>1.2456792100000003</v>
      </c>
      <c r="Q7" s="60">
        <f t="shared" si="4"/>
        <v>1.2377388000000005</v>
      </c>
      <c r="R7" s="61">
        <f t="shared" si="5"/>
        <v>1.2297468000000003</v>
      </c>
      <c r="S7" s="60">
        <f t="shared" si="6"/>
        <v>1.2358074000000001</v>
      </c>
      <c r="T7" s="61">
        <f t="shared" si="7"/>
        <v>1.2353748304000005</v>
      </c>
      <c r="U7" s="60">
        <f t="shared" si="8"/>
        <v>1.2414631672000003</v>
      </c>
      <c r="V7" s="61">
        <f t="shared" si="9"/>
        <v>1.2334471192000003</v>
      </c>
      <c r="W7" s="60">
        <f t="shared" si="10"/>
        <v>1.2388710000000003</v>
      </c>
      <c r="X7" s="61">
        <f t="shared" si="11"/>
        <v>1.2445407880000003</v>
      </c>
      <c r="Y7" s="60">
        <f t="shared" si="12"/>
        <v>1.2365048680000004</v>
      </c>
      <c r="Z7" s="61">
        <f t="shared" si="13"/>
        <v>1.2425987740000002</v>
      </c>
    </row>
    <row r="8" spans="2:26" x14ac:dyDescent="0.3">
      <c r="B8" s="9" t="s">
        <v>12</v>
      </c>
      <c r="C8" s="54">
        <v>1.119</v>
      </c>
      <c r="D8" s="55">
        <v>1.1113</v>
      </c>
      <c r="E8" s="54">
        <v>1.1200000000000001</v>
      </c>
      <c r="F8" s="54">
        <v>1.1105</v>
      </c>
      <c r="G8" s="82">
        <f t="shared" si="0"/>
        <v>1.1071800000000001</v>
      </c>
      <c r="H8" s="58">
        <f t="shared" si="14"/>
        <v>1.11168</v>
      </c>
      <c r="I8" s="59">
        <f t="shared" si="0"/>
        <v>1.1051800000000001</v>
      </c>
      <c r="J8" s="58">
        <f t="shared" si="1"/>
        <v>1.1101000000000001</v>
      </c>
      <c r="K8" s="59">
        <f t="shared" si="2"/>
        <v>1.119</v>
      </c>
      <c r="L8" s="61">
        <f t="shared" si="3"/>
        <v>1.2258475524000001</v>
      </c>
      <c r="M8" s="60">
        <f t="shared" si="3"/>
        <v>1.2358324223999999</v>
      </c>
      <c r="N8" s="61">
        <f t="shared" si="3"/>
        <v>1.2214228324</v>
      </c>
      <c r="O8" s="60">
        <f t="shared" si="3"/>
        <v>1.2323220100000003</v>
      </c>
      <c r="P8" s="61">
        <f t="shared" si="3"/>
        <v>1.2521610000000001</v>
      </c>
      <c r="Q8" s="60">
        <f t="shared" si="4"/>
        <v>1.2308298624</v>
      </c>
      <c r="R8" s="61">
        <f t="shared" si="5"/>
        <v>1.2236331924000001</v>
      </c>
      <c r="S8" s="60">
        <f t="shared" si="6"/>
        <v>1.2290805180000002</v>
      </c>
      <c r="T8" s="61">
        <f t="shared" si="7"/>
        <v>1.2286065024000001</v>
      </c>
      <c r="U8" s="60">
        <f t="shared" si="8"/>
        <v>1.2340759680000002</v>
      </c>
      <c r="V8" s="61">
        <f t="shared" si="9"/>
        <v>1.2268603180000002</v>
      </c>
      <c r="W8" s="60">
        <f t="shared" si="10"/>
        <v>1.2389344200000001</v>
      </c>
      <c r="X8" s="61">
        <f t="shared" si="11"/>
        <v>1.2439699200000001</v>
      </c>
      <c r="Y8" s="60">
        <f t="shared" si="12"/>
        <v>1.2366964200000001</v>
      </c>
      <c r="Z8" s="61">
        <f t="shared" si="13"/>
        <v>1.2422019000000002</v>
      </c>
    </row>
    <row r="9" spans="2:26" x14ac:dyDescent="0.3">
      <c r="B9" s="9" t="s">
        <v>13</v>
      </c>
      <c r="C9" s="54">
        <v>1.1112</v>
      </c>
      <c r="D9" s="55">
        <v>1.115</v>
      </c>
      <c r="E9" s="54">
        <v>1.1165</v>
      </c>
      <c r="F9" s="54">
        <v>1.1096999999999999</v>
      </c>
      <c r="G9" s="82">
        <f t="shared" si="0"/>
        <v>1.10442</v>
      </c>
      <c r="H9" s="58">
        <f t="shared" si="14"/>
        <v>1.1087</v>
      </c>
      <c r="I9" s="59">
        <f>AVERAGE(F10:F14)</f>
        <v>1.10222</v>
      </c>
      <c r="J9" s="58">
        <f t="shared" si="1"/>
        <v>1.10728</v>
      </c>
      <c r="K9" s="59">
        <f t="shared" si="2"/>
        <v>1.1112</v>
      </c>
      <c r="L9" s="61">
        <f t="shared" si="3"/>
        <v>1.2197435364</v>
      </c>
      <c r="M9" s="60">
        <f t="shared" si="3"/>
        <v>1.22921569</v>
      </c>
      <c r="N9" s="61">
        <f t="shared" si="3"/>
        <v>1.2148889284</v>
      </c>
      <c r="O9" s="60">
        <f t="shared" si="3"/>
        <v>1.2260689984000002</v>
      </c>
      <c r="P9" s="61">
        <f t="shared" si="3"/>
        <v>1.2347654399999999</v>
      </c>
      <c r="Q9" s="60">
        <f t="shared" si="4"/>
        <v>1.224470454</v>
      </c>
      <c r="R9" s="61">
        <f t="shared" si="5"/>
        <v>1.2173138124</v>
      </c>
      <c r="S9" s="60">
        <f t="shared" si="6"/>
        <v>1.2229021776</v>
      </c>
      <c r="T9" s="61">
        <f t="shared" si="7"/>
        <v>1.2220313140000001</v>
      </c>
      <c r="U9" s="60">
        <f t="shared" si="8"/>
        <v>1.227641336</v>
      </c>
      <c r="V9" s="61">
        <f t="shared" si="9"/>
        <v>1.2204661616000001</v>
      </c>
      <c r="W9" s="60">
        <f t="shared" si="10"/>
        <v>1.2272315039999999</v>
      </c>
      <c r="X9" s="61">
        <f t="shared" si="11"/>
        <v>1.2319874399999999</v>
      </c>
      <c r="Y9" s="60">
        <f t="shared" si="12"/>
        <v>1.2247868639999999</v>
      </c>
      <c r="Z9" s="61">
        <f t="shared" si="13"/>
        <v>1.230409536</v>
      </c>
    </row>
    <row r="10" spans="2:26" x14ac:dyDescent="0.3">
      <c r="B10" s="9" t="s">
        <v>14</v>
      </c>
      <c r="C10" s="54">
        <v>1.115</v>
      </c>
      <c r="D10" s="55">
        <v>1.1128</v>
      </c>
      <c r="E10" s="54">
        <v>1.1173</v>
      </c>
      <c r="F10" s="54">
        <v>1.1099000000000001</v>
      </c>
      <c r="G10" s="82">
        <f>AVERAGE(D11:D15)</f>
        <v>1.1016999999999999</v>
      </c>
      <c r="H10" s="58">
        <f t="shared" si="14"/>
        <v>1.1061999999999999</v>
      </c>
      <c r="I10" s="59">
        <f t="shared" si="0"/>
        <v>1.0999199999999998</v>
      </c>
      <c r="J10" s="58">
        <f t="shared" si="1"/>
        <v>1.1045200000000002</v>
      </c>
      <c r="K10" s="59">
        <f t="shared" si="2"/>
        <v>1.115</v>
      </c>
      <c r="L10" s="61">
        <f t="shared" si="3"/>
        <v>1.2137428899999998</v>
      </c>
      <c r="M10" s="60">
        <f t="shared" si="3"/>
        <v>1.2236784399999996</v>
      </c>
      <c r="N10" s="61">
        <f t="shared" si="3"/>
        <v>1.2098240063999994</v>
      </c>
      <c r="O10" s="60">
        <f t="shared" si="3"/>
        <v>1.2199644304000004</v>
      </c>
      <c r="P10" s="61">
        <f t="shared" si="3"/>
        <v>1.243225</v>
      </c>
      <c r="Q10" s="60">
        <f t="shared" si="4"/>
        <v>1.2187005399999997</v>
      </c>
      <c r="R10" s="61">
        <f t="shared" si="5"/>
        <v>1.2117818639999998</v>
      </c>
      <c r="S10" s="60">
        <f t="shared" si="6"/>
        <v>1.216849684</v>
      </c>
      <c r="T10" s="61">
        <f t="shared" si="7"/>
        <v>1.2167315039999995</v>
      </c>
      <c r="U10" s="60">
        <f t="shared" si="8"/>
        <v>1.2218200240000001</v>
      </c>
      <c r="V10" s="61">
        <f t="shared" si="9"/>
        <v>1.2148836383999999</v>
      </c>
      <c r="W10" s="60">
        <f t="shared" si="10"/>
        <v>1.2283955</v>
      </c>
      <c r="X10" s="61">
        <f t="shared" si="11"/>
        <v>1.2334129999999999</v>
      </c>
      <c r="Y10" s="60">
        <f t="shared" si="12"/>
        <v>1.2264107999999998</v>
      </c>
      <c r="Z10" s="61">
        <f t="shared" si="13"/>
        <v>1.2315398000000002</v>
      </c>
    </row>
    <row r="11" spans="2:26" x14ac:dyDescent="0.3">
      <c r="B11" s="9" t="s">
        <v>15</v>
      </c>
      <c r="C11" s="54">
        <v>1.113</v>
      </c>
      <c r="D11" s="55">
        <v>1.1085</v>
      </c>
      <c r="E11" s="54">
        <v>1.113</v>
      </c>
      <c r="F11" s="54">
        <v>1.1071</v>
      </c>
      <c r="G11" s="82">
        <f t="shared" si="0"/>
        <v>1.0986400000000001</v>
      </c>
      <c r="H11" s="58">
        <f t="shared" si="14"/>
        <v>1.1035799999999998</v>
      </c>
      <c r="I11" s="59">
        <f t="shared" si="0"/>
        <v>1.0967600000000002</v>
      </c>
      <c r="J11" s="58">
        <f t="shared" si="1"/>
        <v>1.1017599999999999</v>
      </c>
      <c r="K11" s="59">
        <f t="shared" si="2"/>
        <v>1.113</v>
      </c>
      <c r="L11" s="61">
        <f t="shared" si="3"/>
        <v>1.2070098496000001</v>
      </c>
      <c r="M11" s="60">
        <f t="shared" si="3"/>
        <v>1.2178888163999995</v>
      </c>
      <c r="N11" s="61">
        <f t="shared" si="3"/>
        <v>1.2028824976000003</v>
      </c>
      <c r="O11" s="60">
        <f t="shared" si="3"/>
        <v>1.2138750975999997</v>
      </c>
      <c r="P11" s="61">
        <f t="shared" si="3"/>
        <v>1.238769</v>
      </c>
      <c r="Q11" s="60">
        <f t="shared" si="4"/>
        <v>1.2124371311999997</v>
      </c>
      <c r="R11" s="61">
        <f t="shared" si="5"/>
        <v>1.2049444064000003</v>
      </c>
      <c r="S11" s="60">
        <f t="shared" si="6"/>
        <v>1.2104376064</v>
      </c>
      <c r="T11" s="61">
        <f t="shared" si="7"/>
        <v>1.2103624008</v>
      </c>
      <c r="U11" s="60">
        <f t="shared" si="8"/>
        <v>1.2158803007999996</v>
      </c>
      <c r="V11" s="61">
        <f t="shared" si="9"/>
        <v>1.2083662976</v>
      </c>
      <c r="W11" s="60">
        <f t="shared" si="10"/>
        <v>1.22278632</v>
      </c>
      <c r="X11" s="61">
        <f t="shared" si="11"/>
        <v>1.2282845399999998</v>
      </c>
      <c r="Y11" s="60">
        <f t="shared" si="12"/>
        <v>1.2206938800000002</v>
      </c>
      <c r="Z11" s="61">
        <f t="shared" si="13"/>
        <v>1.2262588799999998</v>
      </c>
    </row>
    <row r="12" spans="2:26" x14ac:dyDescent="0.3">
      <c r="B12" s="9" t="s">
        <v>16</v>
      </c>
      <c r="C12" s="54">
        <v>1.1085</v>
      </c>
      <c r="D12" s="55">
        <v>1.1024</v>
      </c>
      <c r="E12" s="54">
        <v>1.1086</v>
      </c>
      <c r="F12" s="54">
        <v>1.1022000000000001</v>
      </c>
      <c r="G12" s="82">
        <f t="shared" si="0"/>
        <v>1.09646</v>
      </c>
      <c r="H12" s="58">
        <f t="shared" si="14"/>
        <v>1.10066</v>
      </c>
      <c r="I12" s="59">
        <f t="shared" si="0"/>
        <v>1.0945400000000001</v>
      </c>
      <c r="J12" s="58">
        <f t="shared" si="1"/>
        <v>1.0986799999999999</v>
      </c>
      <c r="K12" s="59">
        <f t="shared" si="2"/>
        <v>1.1085</v>
      </c>
      <c r="L12" s="61">
        <f t="shared" si="3"/>
        <v>1.2022245316</v>
      </c>
      <c r="M12" s="60">
        <f t="shared" si="3"/>
        <v>1.2114524356</v>
      </c>
      <c r="N12" s="61">
        <f t="shared" si="3"/>
        <v>1.1980178116000002</v>
      </c>
      <c r="O12" s="60">
        <f t="shared" si="3"/>
        <v>1.2070977423999998</v>
      </c>
      <c r="P12" s="61">
        <f t="shared" si="3"/>
        <v>1.22877225</v>
      </c>
      <c r="Q12" s="60">
        <f t="shared" si="4"/>
        <v>1.2068296636</v>
      </c>
      <c r="R12" s="61">
        <f t="shared" si="5"/>
        <v>1.2001193284</v>
      </c>
      <c r="S12" s="60">
        <f t="shared" si="6"/>
        <v>1.2046586727999999</v>
      </c>
      <c r="T12" s="61">
        <f t="shared" si="7"/>
        <v>1.2047163964000001</v>
      </c>
      <c r="U12" s="60">
        <f t="shared" si="8"/>
        <v>1.2092731287999998</v>
      </c>
      <c r="V12" s="61">
        <f t="shared" si="9"/>
        <v>1.2025492071999999</v>
      </c>
      <c r="W12" s="60">
        <f t="shared" si="10"/>
        <v>1.21542591</v>
      </c>
      <c r="X12" s="61">
        <f t="shared" si="11"/>
        <v>1.22008161</v>
      </c>
      <c r="Y12" s="60">
        <f t="shared" si="12"/>
        <v>1.21329759</v>
      </c>
      <c r="Z12" s="61">
        <f t="shared" si="13"/>
        <v>1.2178867799999999</v>
      </c>
    </row>
    <row r="13" spans="2:26" x14ac:dyDescent="0.3">
      <c r="B13" s="9" t="s">
        <v>17</v>
      </c>
      <c r="C13" s="54">
        <v>1.1028</v>
      </c>
      <c r="D13" s="55">
        <v>1.0972</v>
      </c>
      <c r="E13" s="54">
        <v>1.103</v>
      </c>
      <c r="F13" s="54">
        <v>1.097</v>
      </c>
      <c r="G13" s="82">
        <f t="shared" si="0"/>
        <v>1.0953999999999999</v>
      </c>
      <c r="H13" s="58">
        <f t="shared" si="14"/>
        <v>1.0987000000000002</v>
      </c>
      <c r="I13" s="59">
        <f t="shared" si="0"/>
        <v>1.0933199999999998</v>
      </c>
      <c r="J13" s="58">
        <f t="shared" si="1"/>
        <v>1.0964399999999999</v>
      </c>
      <c r="K13" s="59">
        <f t="shared" si="2"/>
        <v>1.1028</v>
      </c>
      <c r="L13" s="61">
        <f t="shared" si="3"/>
        <v>1.1999011599999998</v>
      </c>
      <c r="M13" s="60">
        <f t="shared" si="3"/>
        <v>1.2071416900000005</v>
      </c>
      <c r="N13" s="61">
        <f t="shared" si="3"/>
        <v>1.1953486223999996</v>
      </c>
      <c r="O13" s="60">
        <f t="shared" si="3"/>
        <v>1.2021806735999996</v>
      </c>
      <c r="P13" s="61">
        <f t="shared" si="3"/>
        <v>1.21616784</v>
      </c>
      <c r="Q13" s="60">
        <f t="shared" si="4"/>
        <v>1.2035159800000002</v>
      </c>
      <c r="R13" s="61">
        <f t="shared" si="5"/>
        <v>1.1976227279999998</v>
      </c>
      <c r="S13" s="60">
        <f t="shared" si="6"/>
        <v>1.2010403759999997</v>
      </c>
      <c r="T13" s="61">
        <f t="shared" si="7"/>
        <v>1.201230684</v>
      </c>
      <c r="U13" s="60">
        <f t="shared" si="8"/>
        <v>1.204658628</v>
      </c>
      <c r="V13" s="61">
        <f t="shared" si="9"/>
        <v>1.1987597807999997</v>
      </c>
      <c r="W13" s="60">
        <f t="shared" si="10"/>
        <v>1.20800712</v>
      </c>
      <c r="X13" s="61">
        <f t="shared" si="11"/>
        <v>1.2116463600000003</v>
      </c>
      <c r="Y13" s="60">
        <f t="shared" si="12"/>
        <v>1.2057132959999999</v>
      </c>
      <c r="Z13" s="61">
        <f t="shared" si="13"/>
        <v>1.2091540319999998</v>
      </c>
    </row>
    <row r="14" spans="2:26" x14ac:dyDescent="0.3">
      <c r="B14" s="9" t="s">
        <v>18</v>
      </c>
      <c r="C14" s="54">
        <v>1.0971</v>
      </c>
      <c r="D14" s="55">
        <v>1.1012</v>
      </c>
      <c r="E14" s="54">
        <v>1.1015999999999999</v>
      </c>
      <c r="F14" s="54">
        <v>1.0949</v>
      </c>
      <c r="G14" s="82">
        <f t="shared" si="0"/>
        <v>1.0935999999999999</v>
      </c>
      <c r="H14" s="58">
        <f t="shared" si="14"/>
        <v>1.0972999999999999</v>
      </c>
      <c r="I14" s="59">
        <f t="shared" si="0"/>
        <v>1.0919800000000002</v>
      </c>
      <c r="J14" s="58">
        <f t="shared" si="1"/>
        <v>1.09538</v>
      </c>
      <c r="K14" s="59">
        <f t="shared" si="2"/>
        <v>1.0971</v>
      </c>
      <c r="L14" s="61">
        <f t="shared" si="3"/>
        <v>1.1959609599999999</v>
      </c>
      <c r="M14" s="60">
        <f t="shared" si="3"/>
        <v>1.2040672899999998</v>
      </c>
      <c r="N14" s="61">
        <f t="shared" si="3"/>
        <v>1.1924203204000003</v>
      </c>
      <c r="O14" s="60">
        <f t="shared" si="3"/>
        <v>1.1998573444</v>
      </c>
      <c r="P14" s="61">
        <f t="shared" si="3"/>
        <v>1.2036284099999999</v>
      </c>
      <c r="Q14" s="60">
        <f t="shared" si="4"/>
        <v>1.2000072799999999</v>
      </c>
      <c r="R14" s="61">
        <f t="shared" si="5"/>
        <v>1.194189328</v>
      </c>
      <c r="S14" s="60">
        <f t="shared" si="6"/>
        <v>1.197907568</v>
      </c>
      <c r="T14" s="61">
        <f t="shared" si="7"/>
        <v>1.1982296540000001</v>
      </c>
      <c r="U14" s="60">
        <f t="shared" si="8"/>
        <v>1.2019604740000001</v>
      </c>
      <c r="V14" s="61">
        <f t="shared" si="9"/>
        <v>1.1961330524000002</v>
      </c>
      <c r="W14" s="60">
        <f t="shared" si="10"/>
        <v>1.1997885599999998</v>
      </c>
      <c r="X14" s="61">
        <f t="shared" si="11"/>
        <v>1.20384783</v>
      </c>
      <c r="Y14" s="60">
        <f t="shared" si="12"/>
        <v>1.1980112580000002</v>
      </c>
      <c r="Z14" s="61">
        <f t="shared" si="13"/>
        <v>1.201741398</v>
      </c>
    </row>
    <row r="15" spans="2:26" x14ac:dyDescent="0.3">
      <c r="B15" s="9" t="s">
        <v>19</v>
      </c>
      <c r="C15" s="54">
        <v>1.1012</v>
      </c>
      <c r="D15" s="55">
        <v>1.0992</v>
      </c>
      <c r="E15" s="54">
        <v>1.1048</v>
      </c>
      <c r="F15" s="54">
        <v>1.0984</v>
      </c>
      <c r="G15" s="82">
        <f t="shared" si="0"/>
        <v>1.0923200000000002</v>
      </c>
      <c r="H15" s="58">
        <f t="shared" si="14"/>
        <v>1.0950600000000001</v>
      </c>
      <c r="I15" s="59">
        <f t="shared" si="0"/>
        <v>1.0904</v>
      </c>
      <c r="J15" s="58">
        <f t="shared" si="1"/>
        <v>1.0935600000000001</v>
      </c>
      <c r="K15" s="59">
        <f t="shared" si="2"/>
        <v>1.1012</v>
      </c>
      <c r="L15" s="61">
        <f t="shared" si="3"/>
        <v>1.1931629824000003</v>
      </c>
      <c r="M15" s="60">
        <f t="shared" si="3"/>
        <v>1.1991564036000004</v>
      </c>
      <c r="N15" s="61">
        <f t="shared" si="3"/>
        <v>1.1889721600000001</v>
      </c>
      <c r="O15" s="60">
        <f t="shared" si="3"/>
        <v>1.1958734736000003</v>
      </c>
      <c r="P15" s="61">
        <f t="shared" si="3"/>
        <v>1.2126414399999998</v>
      </c>
      <c r="Q15" s="60">
        <f t="shared" si="4"/>
        <v>1.1961559392000003</v>
      </c>
      <c r="R15" s="61">
        <f t="shared" si="5"/>
        <v>1.1910657280000003</v>
      </c>
      <c r="S15" s="60">
        <f t="shared" si="6"/>
        <v>1.1945174592000003</v>
      </c>
      <c r="T15" s="61">
        <f t="shared" si="7"/>
        <v>1.1940534240000003</v>
      </c>
      <c r="U15" s="60">
        <f t="shared" si="8"/>
        <v>1.1975138136000003</v>
      </c>
      <c r="V15" s="61">
        <f t="shared" si="9"/>
        <v>1.1924178240000001</v>
      </c>
      <c r="W15" s="60">
        <f t="shared" si="10"/>
        <v>1.2028627840000001</v>
      </c>
      <c r="X15" s="61">
        <f t="shared" si="11"/>
        <v>1.205880072</v>
      </c>
      <c r="Y15" s="60">
        <f t="shared" si="12"/>
        <v>1.2007484799999999</v>
      </c>
      <c r="Z15" s="61">
        <f t="shared" si="13"/>
        <v>1.2042282720000002</v>
      </c>
    </row>
    <row r="16" spans="2:26" x14ac:dyDescent="0.3">
      <c r="B16" s="9" t="s">
        <v>20</v>
      </c>
      <c r="C16" s="54">
        <v>1.0992</v>
      </c>
      <c r="D16" s="55">
        <v>1.0931999999999999</v>
      </c>
      <c r="E16" s="54">
        <v>1.0999000000000001</v>
      </c>
      <c r="F16" s="54">
        <v>1.0912999999999999</v>
      </c>
      <c r="G16" s="82">
        <f t="shared" si="0"/>
        <v>1.0927399999999998</v>
      </c>
      <c r="H16" s="58">
        <f t="shared" si="14"/>
        <v>1.0943599999999998</v>
      </c>
      <c r="I16" s="59">
        <f t="shared" si="0"/>
        <v>1.0901999999999998</v>
      </c>
      <c r="J16" s="58">
        <f t="shared" si="1"/>
        <v>1.09232</v>
      </c>
      <c r="K16" s="59">
        <f t="shared" si="2"/>
        <v>1.0992</v>
      </c>
      <c r="L16" s="61">
        <f t="shared" si="3"/>
        <v>1.1940807075999995</v>
      </c>
      <c r="M16" s="60">
        <f t="shared" si="3"/>
        <v>1.1976238095999996</v>
      </c>
      <c r="N16" s="61">
        <f t="shared" si="3"/>
        <v>1.1885360399999996</v>
      </c>
      <c r="O16" s="60">
        <f t="shared" si="3"/>
        <v>1.1931629823999998</v>
      </c>
      <c r="P16" s="61">
        <f t="shared" si="3"/>
        <v>1.2082406399999999</v>
      </c>
      <c r="Q16" s="60">
        <f t="shared" si="4"/>
        <v>1.1958509463999996</v>
      </c>
      <c r="R16" s="61">
        <f t="shared" si="5"/>
        <v>1.1913051479999996</v>
      </c>
      <c r="S16" s="60">
        <f t="shared" si="6"/>
        <v>1.1936217567999998</v>
      </c>
      <c r="T16" s="61">
        <f t="shared" si="7"/>
        <v>1.1930712719999996</v>
      </c>
      <c r="U16" s="60">
        <f t="shared" si="8"/>
        <v>1.1953913151999997</v>
      </c>
      <c r="V16" s="61">
        <f t="shared" si="9"/>
        <v>1.1908472639999998</v>
      </c>
      <c r="W16" s="60">
        <f t="shared" si="10"/>
        <v>1.2011398079999998</v>
      </c>
      <c r="X16" s="61">
        <f t="shared" si="11"/>
        <v>1.2029205119999997</v>
      </c>
      <c r="Y16" s="60">
        <f t="shared" si="12"/>
        <v>1.1983478399999998</v>
      </c>
      <c r="Z16" s="61">
        <f t="shared" si="13"/>
        <v>1.2006781439999998</v>
      </c>
    </row>
    <row r="17" spans="2:26" x14ac:dyDescent="0.3">
      <c r="B17" s="40">
        <v>45634</v>
      </c>
      <c r="C17" s="54">
        <v>1.0931</v>
      </c>
      <c r="D17" s="55">
        <v>1.0914999999999999</v>
      </c>
      <c r="E17" s="54">
        <v>1.0940000000000001</v>
      </c>
      <c r="F17" s="54">
        <v>1.0911</v>
      </c>
      <c r="G17" s="82">
        <f t="shared" si="0"/>
        <v>1.0928799999999999</v>
      </c>
      <c r="H17" s="58">
        <f t="shared" si="14"/>
        <v>1.09572</v>
      </c>
      <c r="I17" s="59">
        <f t="shared" si="0"/>
        <v>1.08982</v>
      </c>
      <c r="J17" s="58">
        <f t="shared" si="1"/>
        <v>1.09274</v>
      </c>
      <c r="K17" s="59">
        <f t="shared" si="2"/>
        <v>1.0931</v>
      </c>
      <c r="L17" s="61">
        <f t="shared" si="3"/>
        <v>1.1943866943999997</v>
      </c>
      <c r="M17" s="60">
        <f t="shared" si="3"/>
        <v>1.2006023184000001</v>
      </c>
      <c r="N17" s="61">
        <f t="shared" si="3"/>
        <v>1.1877076324</v>
      </c>
      <c r="O17" s="60">
        <f t="shared" si="3"/>
        <v>1.1940807076000002</v>
      </c>
      <c r="P17" s="61">
        <f t="shared" si="3"/>
        <v>1.19486761</v>
      </c>
      <c r="Q17" s="60">
        <f t="shared" si="4"/>
        <v>1.1974904735999998</v>
      </c>
      <c r="R17" s="61">
        <f t="shared" si="5"/>
        <v>1.1910424815999998</v>
      </c>
      <c r="S17" s="60">
        <f t="shared" si="6"/>
        <v>1.1942336911999998</v>
      </c>
      <c r="T17" s="61">
        <f t="shared" si="7"/>
        <v>1.1941375704000001</v>
      </c>
      <c r="U17" s="60">
        <f t="shared" si="8"/>
        <v>1.1973370728000001</v>
      </c>
      <c r="V17" s="61">
        <f t="shared" si="9"/>
        <v>1.1908899068000001</v>
      </c>
      <c r="W17" s="60">
        <f t="shared" si="10"/>
        <v>1.1946271279999998</v>
      </c>
      <c r="X17" s="61">
        <f t="shared" si="11"/>
        <v>1.1977315319999999</v>
      </c>
      <c r="Y17" s="60">
        <f t="shared" si="12"/>
        <v>1.191282242</v>
      </c>
      <c r="Z17" s="61">
        <f t="shared" si="13"/>
        <v>1.194474094</v>
      </c>
    </row>
    <row r="18" spans="2:26" x14ac:dyDescent="0.3">
      <c r="B18" s="40">
        <v>45543</v>
      </c>
      <c r="C18" s="54">
        <v>1.0915999999999999</v>
      </c>
      <c r="D18" s="55">
        <v>1.0919000000000001</v>
      </c>
      <c r="E18" s="54">
        <v>1.0931999999999999</v>
      </c>
      <c r="F18" s="54">
        <v>1.0909</v>
      </c>
      <c r="G18" s="82">
        <f t="shared" si="0"/>
        <v>1.0902800000000001</v>
      </c>
      <c r="H18" s="58">
        <f t="shared" si="14"/>
        <v>1.09562</v>
      </c>
      <c r="I18" s="59">
        <f t="shared" si="0"/>
        <v>1.08728</v>
      </c>
      <c r="J18" s="58">
        <f t="shared" si="1"/>
        <v>1.0925800000000001</v>
      </c>
      <c r="K18" s="59">
        <f t="shared" si="2"/>
        <v>1.0915999999999999</v>
      </c>
      <c r="L18" s="61">
        <f t="shared" si="3"/>
        <v>1.1887104784000002</v>
      </c>
      <c r="M18" s="60">
        <f t="shared" si="3"/>
        <v>1.2003831844000001</v>
      </c>
      <c r="N18" s="61">
        <f t="shared" si="3"/>
        <v>1.1821777984000001</v>
      </c>
      <c r="O18" s="60">
        <f t="shared" si="3"/>
        <v>1.1937310564000003</v>
      </c>
      <c r="P18" s="61">
        <f t="shared" si="3"/>
        <v>1.1915905599999999</v>
      </c>
      <c r="Q18" s="60">
        <f t="shared" si="4"/>
        <v>1.1945325736000001</v>
      </c>
      <c r="R18" s="61">
        <f t="shared" si="5"/>
        <v>1.1854396384000001</v>
      </c>
      <c r="S18" s="60">
        <f t="shared" si="6"/>
        <v>1.1912181224000002</v>
      </c>
      <c r="T18" s="61">
        <f t="shared" si="7"/>
        <v>1.1912457136000001</v>
      </c>
      <c r="U18" s="60">
        <f t="shared" si="8"/>
        <v>1.1970524996000003</v>
      </c>
      <c r="V18" s="61">
        <f t="shared" si="9"/>
        <v>1.1879403824000001</v>
      </c>
      <c r="W18" s="60">
        <f t="shared" si="10"/>
        <v>1.190149648</v>
      </c>
      <c r="X18" s="61">
        <f t="shared" si="11"/>
        <v>1.195978792</v>
      </c>
      <c r="Y18" s="60">
        <f t="shared" si="12"/>
        <v>1.186874848</v>
      </c>
      <c r="Z18" s="61">
        <f t="shared" si="13"/>
        <v>1.1926603280000001</v>
      </c>
    </row>
    <row r="19" spans="2:26" x14ac:dyDescent="0.3">
      <c r="B19" s="40">
        <v>45512</v>
      </c>
      <c r="C19" s="54">
        <v>1.0918000000000001</v>
      </c>
      <c r="D19" s="55">
        <v>1.0922000000000001</v>
      </c>
      <c r="E19" s="54">
        <v>1.0946</v>
      </c>
      <c r="F19" s="54">
        <v>1.0882000000000001</v>
      </c>
      <c r="G19" s="82">
        <f t="shared" ref="G19:I34" si="15">AVERAGE(D20:D24)</f>
        <v>1.08836</v>
      </c>
      <c r="H19" s="58">
        <f t="shared" si="14"/>
        <v>1.0934199999999998</v>
      </c>
      <c r="I19" s="59">
        <f t="shared" si="14"/>
        <v>1.0851600000000001</v>
      </c>
      <c r="J19" s="58">
        <f t="shared" si="1"/>
        <v>1.0900400000000001</v>
      </c>
      <c r="K19" s="59">
        <f t="shared" si="2"/>
        <v>1.0918000000000001</v>
      </c>
      <c r="L19" s="61">
        <f t="shared" si="3"/>
        <v>1.1845274896</v>
      </c>
      <c r="M19" s="60">
        <f t="shared" si="3"/>
        <v>1.1955672963999997</v>
      </c>
      <c r="N19" s="61">
        <f t="shared" si="3"/>
        <v>1.1775722256000003</v>
      </c>
      <c r="O19" s="60">
        <f t="shared" si="3"/>
        <v>1.1881872016000004</v>
      </c>
      <c r="P19" s="61">
        <f t="shared" si="3"/>
        <v>1.1920272400000003</v>
      </c>
      <c r="Q19" s="60">
        <f t="shared" si="4"/>
        <v>1.1900345911999999</v>
      </c>
      <c r="R19" s="61">
        <f t="shared" si="5"/>
        <v>1.1810447376000002</v>
      </c>
      <c r="S19" s="60">
        <f t="shared" si="6"/>
        <v>1.1863559344000001</v>
      </c>
      <c r="T19" s="61">
        <f t="shared" si="7"/>
        <v>1.1865356471999999</v>
      </c>
      <c r="U19" s="60">
        <f t="shared" si="8"/>
        <v>1.1918715367999999</v>
      </c>
      <c r="V19" s="61">
        <f t="shared" si="9"/>
        <v>1.1828678064000002</v>
      </c>
      <c r="W19" s="60">
        <f t="shared" si="10"/>
        <v>1.1882714480000001</v>
      </c>
      <c r="X19" s="61">
        <f t="shared" si="11"/>
        <v>1.193795956</v>
      </c>
      <c r="Y19" s="60">
        <f t="shared" si="12"/>
        <v>1.1847776880000003</v>
      </c>
      <c r="Z19" s="61">
        <f t="shared" si="13"/>
        <v>1.1901056720000003</v>
      </c>
    </row>
    <row r="20" spans="2:26" x14ac:dyDescent="0.3">
      <c r="B20" s="40">
        <v>45481</v>
      </c>
      <c r="C20" s="54">
        <v>1.0921000000000001</v>
      </c>
      <c r="D20" s="55">
        <v>1.0928</v>
      </c>
      <c r="E20" s="54">
        <v>1.0935999999999999</v>
      </c>
      <c r="F20" s="54">
        <v>1.0905</v>
      </c>
      <c r="G20" s="82">
        <f t="shared" si="15"/>
        <v>1.08612</v>
      </c>
      <c r="H20" s="58">
        <f t="shared" si="14"/>
        <v>1.0916999999999999</v>
      </c>
      <c r="I20" s="59">
        <f t="shared" si="14"/>
        <v>1.0831</v>
      </c>
      <c r="J20" s="58">
        <f t="shared" si="1"/>
        <v>1.08812</v>
      </c>
      <c r="K20" s="59">
        <f t="shared" si="2"/>
        <v>1.0921000000000001</v>
      </c>
      <c r="L20" s="61">
        <f t="shared" si="3"/>
        <v>1.1796566544</v>
      </c>
      <c r="M20" s="60">
        <f t="shared" si="3"/>
        <v>1.1918088899999997</v>
      </c>
      <c r="N20" s="61">
        <f t="shared" si="3"/>
        <v>1.1731056099999999</v>
      </c>
      <c r="O20" s="60">
        <f t="shared" si="3"/>
        <v>1.1840051344</v>
      </c>
      <c r="P20" s="61">
        <f t="shared" si="3"/>
        <v>1.1926824100000002</v>
      </c>
      <c r="Q20" s="60">
        <f t="shared" si="4"/>
        <v>1.1857172039999999</v>
      </c>
      <c r="R20" s="61">
        <f t="shared" si="5"/>
        <v>1.1763765719999999</v>
      </c>
      <c r="S20" s="60">
        <f t="shared" si="6"/>
        <v>1.1818288943999999</v>
      </c>
      <c r="T20" s="61">
        <f t="shared" si="7"/>
        <v>1.1824202699999999</v>
      </c>
      <c r="U20" s="60">
        <f t="shared" si="8"/>
        <v>1.1879006039999997</v>
      </c>
      <c r="V20" s="61">
        <f t="shared" si="9"/>
        <v>1.1785427719999999</v>
      </c>
      <c r="W20" s="60">
        <f t="shared" si="10"/>
        <v>1.1861516519999999</v>
      </c>
      <c r="X20" s="61">
        <f t="shared" si="11"/>
        <v>1.1922455699999999</v>
      </c>
      <c r="Y20" s="60">
        <f t="shared" si="12"/>
        <v>1.1828535099999999</v>
      </c>
      <c r="Z20" s="61">
        <f t="shared" si="13"/>
        <v>1.188335852</v>
      </c>
    </row>
    <row r="21" spans="2:26" x14ac:dyDescent="0.3">
      <c r="B21" s="40">
        <v>45451</v>
      </c>
      <c r="C21" s="54">
        <v>1.093</v>
      </c>
      <c r="D21" s="55">
        <v>1.0952999999999999</v>
      </c>
      <c r="E21" s="54">
        <v>1.0964</v>
      </c>
      <c r="F21" s="54">
        <v>1.0903</v>
      </c>
      <c r="G21" s="82">
        <f t="shared" si="15"/>
        <v>1.0834800000000002</v>
      </c>
      <c r="H21" s="58">
        <f t="shared" si="14"/>
        <v>1.0891600000000001</v>
      </c>
      <c r="I21" s="59">
        <f t="shared" si="14"/>
        <v>1.0809799999999998</v>
      </c>
      <c r="J21" s="58">
        <f t="shared" si="1"/>
        <v>1.08582</v>
      </c>
      <c r="K21" s="59">
        <f t="shared" si="2"/>
        <v>1.093</v>
      </c>
      <c r="L21" s="61">
        <f t="shared" si="3"/>
        <v>1.1739289104000006</v>
      </c>
      <c r="M21" s="60">
        <f t="shared" si="3"/>
        <v>1.1862695056000003</v>
      </c>
      <c r="N21" s="61">
        <f t="shared" si="3"/>
        <v>1.1685177603999997</v>
      </c>
      <c r="O21" s="60">
        <f t="shared" si="3"/>
        <v>1.1790050724000001</v>
      </c>
      <c r="P21" s="61">
        <f t="shared" si="3"/>
        <v>1.1946489999999998</v>
      </c>
      <c r="Q21" s="60">
        <f t="shared" si="4"/>
        <v>1.1800830768000004</v>
      </c>
      <c r="R21" s="61">
        <f t="shared" si="5"/>
        <v>1.1712202104</v>
      </c>
      <c r="S21" s="60">
        <f t="shared" si="6"/>
        <v>1.1764642536000003</v>
      </c>
      <c r="T21" s="61">
        <f t="shared" si="7"/>
        <v>1.1773601767999999</v>
      </c>
      <c r="U21" s="60">
        <f t="shared" si="8"/>
        <v>1.1826317112000002</v>
      </c>
      <c r="V21" s="61">
        <f t="shared" si="9"/>
        <v>1.1737497035999997</v>
      </c>
      <c r="W21" s="60">
        <f t="shared" si="10"/>
        <v>1.1842436400000003</v>
      </c>
      <c r="X21" s="61">
        <f t="shared" si="11"/>
        <v>1.1904518800000001</v>
      </c>
      <c r="Y21" s="60">
        <f t="shared" si="12"/>
        <v>1.1815111399999998</v>
      </c>
      <c r="Z21" s="61">
        <f t="shared" si="13"/>
        <v>1.18680126</v>
      </c>
    </row>
    <row r="22" spans="2:26" x14ac:dyDescent="0.3">
      <c r="B22" s="40">
        <v>45420</v>
      </c>
      <c r="C22" s="54">
        <v>1.0952</v>
      </c>
      <c r="D22" s="55">
        <v>1.0922000000000001</v>
      </c>
      <c r="E22" s="54">
        <v>1.1008</v>
      </c>
      <c r="F22" s="54">
        <v>1.0891999999999999</v>
      </c>
      <c r="G22" s="82">
        <f t="shared" si="15"/>
        <v>1.0823200000000002</v>
      </c>
      <c r="H22" s="58">
        <f t="shared" si="15"/>
        <v>1.0863999999999998</v>
      </c>
      <c r="I22" s="59">
        <f t="shared" si="15"/>
        <v>1.0792000000000002</v>
      </c>
      <c r="J22" s="58">
        <f t="shared" si="1"/>
        <v>1.0831599999999999</v>
      </c>
      <c r="K22" s="59">
        <f t="shared" si="2"/>
        <v>1.0952</v>
      </c>
      <c r="L22" s="61">
        <f t="shared" si="3"/>
        <v>1.1714165824000005</v>
      </c>
      <c r="M22" s="60">
        <f t="shared" si="3"/>
        <v>1.1802649599999997</v>
      </c>
      <c r="N22" s="61">
        <f t="shared" si="3"/>
        <v>1.1646726400000003</v>
      </c>
      <c r="O22" s="60">
        <f t="shared" si="3"/>
        <v>1.1732355855999999</v>
      </c>
      <c r="P22" s="61">
        <f t="shared" si="3"/>
        <v>1.1994630399999999</v>
      </c>
      <c r="Q22" s="60">
        <f t="shared" si="4"/>
        <v>1.175832448</v>
      </c>
      <c r="R22" s="61">
        <f t="shared" si="5"/>
        <v>1.1680397440000003</v>
      </c>
      <c r="S22" s="60">
        <f t="shared" si="6"/>
        <v>1.1723257312000002</v>
      </c>
      <c r="T22" s="61">
        <f t="shared" si="7"/>
        <v>1.17244288</v>
      </c>
      <c r="U22" s="60">
        <f t="shared" si="8"/>
        <v>1.1767450239999997</v>
      </c>
      <c r="V22" s="61">
        <f t="shared" si="9"/>
        <v>1.1689462720000001</v>
      </c>
      <c r="W22" s="60">
        <f t="shared" si="10"/>
        <v>1.1853568640000001</v>
      </c>
      <c r="X22" s="61">
        <f t="shared" si="11"/>
        <v>1.1898252799999998</v>
      </c>
      <c r="Y22" s="60">
        <f t="shared" si="12"/>
        <v>1.1819398400000001</v>
      </c>
      <c r="Z22" s="61">
        <f t="shared" si="13"/>
        <v>1.1862768319999999</v>
      </c>
    </row>
    <row r="23" spans="2:26" x14ac:dyDescent="0.3">
      <c r="B23" s="40">
        <v>45330</v>
      </c>
      <c r="C23" s="54">
        <v>1.0908</v>
      </c>
      <c r="D23" s="55">
        <v>1.0789</v>
      </c>
      <c r="E23" s="54">
        <v>1.0927</v>
      </c>
      <c r="F23" s="54">
        <v>1.0782</v>
      </c>
      <c r="G23" s="82">
        <f t="shared" si="15"/>
        <v>1.08348</v>
      </c>
      <c r="H23" s="58">
        <f t="shared" si="15"/>
        <v>1.08524</v>
      </c>
      <c r="I23" s="59">
        <f t="shared" si="15"/>
        <v>1.0803800000000001</v>
      </c>
      <c r="J23" s="58">
        <f t="shared" si="1"/>
        <v>1.0821400000000001</v>
      </c>
      <c r="K23" s="59">
        <f t="shared" si="2"/>
        <v>1.0908</v>
      </c>
      <c r="L23" s="61">
        <f t="shared" si="3"/>
        <v>1.1739289103999999</v>
      </c>
      <c r="M23" s="60">
        <f t="shared" si="3"/>
        <v>1.1777458575999999</v>
      </c>
      <c r="N23" s="61">
        <f t="shared" si="3"/>
        <v>1.1672209444000003</v>
      </c>
      <c r="O23" s="60">
        <f t="shared" si="3"/>
        <v>1.1710269796000001</v>
      </c>
      <c r="P23" s="61">
        <f t="shared" si="3"/>
        <v>1.18984464</v>
      </c>
      <c r="Q23" s="60">
        <f t="shared" si="4"/>
        <v>1.1758358352</v>
      </c>
      <c r="R23" s="61">
        <f t="shared" si="5"/>
        <v>1.1705701224</v>
      </c>
      <c r="S23" s="60">
        <f t="shared" si="6"/>
        <v>1.1724770472000001</v>
      </c>
      <c r="T23" s="61">
        <f t="shared" si="7"/>
        <v>1.1724715912000001</v>
      </c>
      <c r="U23" s="60">
        <f t="shared" si="8"/>
        <v>1.1743816136</v>
      </c>
      <c r="V23" s="61">
        <f t="shared" si="9"/>
        <v>1.1691224132000002</v>
      </c>
      <c r="W23" s="60">
        <f t="shared" si="10"/>
        <v>1.1818599839999999</v>
      </c>
      <c r="X23" s="61">
        <f t="shared" si="11"/>
        <v>1.1837797919999999</v>
      </c>
      <c r="Y23" s="60">
        <f t="shared" si="12"/>
        <v>1.1784785040000001</v>
      </c>
      <c r="Z23" s="61">
        <f t="shared" si="13"/>
        <v>1.1803983120000001</v>
      </c>
    </row>
    <row r="24" spans="2:26" x14ac:dyDescent="0.3">
      <c r="B24" s="40">
        <v>45299</v>
      </c>
      <c r="C24" s="54">
        <v>1.0790999999999999</v>
      </c>
      <c r="D24" s="55">
        <v>1.0826</v>
      </c>
      <c r="E24" s="54">
        <v>1.0835999999999999</v>
      </c>
      <c r="F24" s="54">
        <v>1.0775999999999999</v>
      </c>
      <c r="G24" s="82">
        <f t="shared" si="15"/>
        <v>1.0837599999999998</v>
      </c>
      <c r="H24" s="58">
        <f t="shared" si="15"/>
        <v>1.08592</v>
      </c>
      <c r="I24" s="59">
        <f t="shared" si="15"/>
        <v>1.0814000000000001</v>
      </c>
      <c r="J24" s="58">
        <f t="shared" si="1"/>
        <v>1.0832000000000002</v>
      </c>
      <c r="K24" s="59">
        <f t="shared" si="2"/>
        <v>1.0790999999999999</v>
      </c>
      <c r="L24" s="61">
        <f t="shared" si="3"/>
        <v>1.1745357375999996</v>
      </c>
      <c r="M24" s="60">
        <f t="shared" si="3"/>
        <v>1.1792222464</v>
      </c>
      <c r="N24" s="61">
        <f t="shared" si="3"/>
        <v>1.1694259600000003</v>
      </c>
      <c r="O24" s="60">
        <f t="shared" si="3"/>
        <v>1.1733222400000003</v>
      </c>
      <c r="P24" s="61">
        <f t="shared" si="3"/>
        <v>1.1644568099999999</v>
      </c>
      <c r="Q24" s="60">
        <f t="shared" si="4"/>
        <v>1.1768766591999997</v>
      </c>
      <c r="R24" s="61">
        <f t="shared" si="5"/>
        <v>1.1719780639999999</v>
      </c>
      <c r="S24" s="60">
        <f t="shared" si="6"/>
        <v>1.1739288320000001</v>
      </c>
      <c r="T24" s="61">
        <f t="shared" si="7"/>
        <v>1.1743138880000001</v>
      </c>
      <c r="U24" s="60">
        <f t="shared" si="8"/>
        <v>1.1762685440000002</v>
      </c>
      <c r="V24" s="61">
        <f t="shared" si="9"/>
        <v>1.1713724800000003</v>
      </c>
      <c r="W24" s="60">
        <f t="shared" si="10"/>
        <v>1.1694854159999997</v>
      </c>
      <c r="X24" s="61">
        <f t="shared" si="11"/>
        <v>1.171816272</v>
      </c>
      <c r="Y24" s="60">
        <f t="shared" si="12"/>
        <v>1.1669387400000002</v>
      </c>
      <c r="Z24" s="61">
        <f t="shared" si="13"/>
        <v>1.1688811200000002</v>
      </c>
    </row>
    <row r="25" spans="2:26" x14ac:dyDescent="0.3">
      <c r="B25" s="9" t="s">
        <v>21</v>
      </c>
      <c r="C25" s="54">
        <v>1.0825</v>
      </c>
      <c r="D25" s="55">
        <v>1.0815999999999999</v>
      </c>
      <c r="E25" s="54">
        <v>1.085</v>
      </c>
      <c r="F25" s="54">
        <v>1.0802</v>
      </c>
      <c r="G25" s="82">
        <f t="shared" si="15"/>
        <v>1.0845199999999999</v>
      </c>
      <c r="H25" s="58">
        <f t="shared" si="15"/>
        <v>1.0862799999999999</v>
      </c>
      <c r="I25" s="59">
        <f t="shared" si="15"/>
        <v>1.0818800000000002</v>
      </c>
      <c r="J25" s="58">
        <f t="shared" si="1"/>
        <v>1.0834800000000002</v>
      </c>
      <c r="K25" s="59">
        <f t="shared" si="2"/>
        <v>1.0825</v>
      </c>
      <c r="L25" s="61">
        <f t="shared" si="3"/>
        <v>1.1761836303999997</v>
      </c>
      <c r="M25" s="60">
        <f t="shared" si="3"/>
        <v>1.1800042383999998</v>
      </c>
      <c r="N25" s="61">
        <f t="shared" si="3"/>
        <v>1.1704643344000003</v>
      </c>
      <c r="O25" s="60">
        <f t="shared" si="3"/>
        <v>1.1739289104000006</v>
      </c>
      <c r="P25" s="61">
        <f t="shared" si="3"/>
        <v>1.1718062499999999</v>
      </c>
      <c r="Q25" s="60">
        <f t="shared" si="4"/>
        <v>1.1780923855999998</v>
      </c>
      <c r="R25" s="61">
        <f t="shared" si="5"/>
        <v>1.1733204976</v>
      </c>
      <c r="S25" s="60">
        <f t="shared" si="6"/>
        <v>1.1750557296000002</v>
      </c>
      <c r="T25" s="61">
        <f t="shared" si="7"/>
        <v>1.1752246064</v>
      </c>
      <c r="U25" s="60">
        <f t="shared" si="8"/>
        <v>1.1769626544000003</v>
      </c>
      <c r="V25" s="61">
        <f t="shared" si="9"/>
        <v>1.1721953424000005</v>
      </c>
      <c r="W25" s="60">
        <f t="shared" si="10"/>
        <v>1.1739929</v>
      </c>
      <c r="X25" s="61">
        <f t="shared" si="11"/>
        <v>1.1758980999999999</v>
      </c>
      <c r="Y25" s="60">
        <f t="shared" si="12"/>
        <v>1.1711351000000003</v>
      </c>
      <c r="Z25" s="61">
        <f t="shared" si="13"/>
        <v>1.1728671000000002</v>
      </c>
    </row>
    <row r="26" spans="2:26" x14ac:dyDescent="0.3">
      <c r="B26" s="9" t="s">
        <v>22</v>
      </c>
      <c r="C26" s="54">
        <v>1.0814999999999999</v>
      </c>
      <c r="D26" s="55">
        <v>1.0821000000000001</v>
      </c>
      <c r="E26" s="54">
        <v>1.0837000000000001</v>
      </c>
      <c r="F26" s="54">
        <v>1.0797000000000001</v>
      </c>
      <c r="G26" s="82">
        <f t="shared" si="15"/>
        <v>1.0859400000000001</v>
      </c>
      <c r="H26" s="58">
        <f t="shared" si="15"/>
        <v>1.0874999999999999</v>
      </c>
      <c r="I26" s="59">
        <f t="shared" si="15"/>
        <v>1.0828</v>
      </c>
      <c r="J26" s="58">
        <f t="shared" si="1"/>
        <v>1.0842000000000001</v>
      </c>
      <c r="K26" s="59">
        <f t="shared" si="2"/>
        <v>1.0814999999999999</v>
      </c>
      <c r="L26" s="61">
        <f t="shared" si="3"/>
        <v>1.1792656836000002</v>
      </c>
      <c r="M26" s="60">
        <f t="shared" si="3"/>
        <v>1.1826562499999997</v>
      </c>
      <c r="N26" s="61">
        <f t="shared" si="3"/>
        <v>1.17245584</v>
      </c>
      <c r="O26" s="60">
        <f t="shared" si="3"/>
        <v>1.1754896400000001</v>
      </c>
      <c r="P26" s="61">
        <f t="shared" si="3"/>
        <v>1.1696422499999999</v>
      </c>
      <c r="Q26" s="60">
        <f t="shared" si="4"/>
        <v>1.18095975</v>
      </c>
      <c r="R26" s="61">
        <f t="shared" si="5"/>
        <v>1.1758558320000001</v>
      </c>
      <c r="S26" s="60">
        <f t="shared" si="6"/>
        <v>1.1773761480000002</v>
      </c>
      <c r="T26" s="61">
        <f t="shared" si="7"/>
        <v>1.1775449999999998</v>
      </c>
      <c r="U26" s="60">
        <f t="shared" si="8"/>
        <v>1.1790674999999999</v>
      </c>
      <c r="V26" s="61">
        <f t="shared" si="9"/>
        <v>1.1739717600000001</v>
      </c>
      <c r="W26" s="60">
        <f t="shared" si="10"/>
        <v>1.17444411</v>
      </c>
      <c r="X26" s="61">
        <f t="shared" si="11"/>
        <v>1.1761312499999999</v>
      </c>
      <c r="Y26" s="60">
        <f t="shared" si="12"/>
        <v>1.1710482</v>
      </c>
      <c r="Z26" s="61">
        <f t="shared" si="13"/>
        <v>1.1725623000000001</v>
      </c>
    </row>
    <row r="27" spans="2:26" x14ac:dyDescent="0.3">
      <c r="B27" s="9" t="s">
        <v>23</v>
      </c>
      <c r="C27" s="54">
        <v>1.0819000000000001</v>
      </c>
      <c r="D27" s="55">
        <v>1.0864</v>
      </c>
      <c r="E27" s="54">
        <v>1.087</v>
      </c>
      <c r="F27" s="54">
        <v>1.0803</v>
      </c>
      <c r="G27" s="82">
        <f t="shared" si="15"/>
        <v>1.0862799999999999</v>
      </c>
      <c r="H27" s="58">
        <f t="shared" si="15"/>
        <v>1.0881799999999999</v>
      </c>
      <c r="I27" s="59">
        <f t="shared" si="15"/>
        <v>1.0841800000000001</v>
      </c>
      <c r="J27" s="58">
        <f t="shared" si="1"/>
        <v>1.0855999999999999</v>
      </c>
      <c r="K27" s="59">
        <f t="shared" si="2"/>
        <v>1.0819000000000001</v>
      </c>
      <c r="L27" s="61">
        <f t="shared" si="3"/>
        <v>1.1800042383999998</v>
      </c>
      <c r="M27" s="60">
        <f t="shared" si="3"/>
        <v>1.1841357123999998</v>
      </c>
      <c r="N27" s="61">
        <f t="shared" si="3"/>
        <v>1.1754462724000003</v>
      </c>
      <c r="O27" s="60">
        <f t="shared" si="3"/>
        <v>1.1785273599999997</v>
      </c>
      <c r="P27" s="61">
        <f t="shared" si="3"/>
        <v>1.1705076100000003</v>
      </c>
      <c r="Q27" s="60">
        <f t="shared" si="4"/>
        <v>1.1820681703999998</v>
      </c>
      <c r="R27" s="61">
        <f t="shared" si="5"/>
        <v>1.1777230504</v>
      </c>
      <c r="S27" s="60">
        <f t="shared" si="6"/>
        <v>1.1792655679999997</v>
      </c>
      <c r="T27" s="61">
        <f t="shared" si="7"/>
        <v>1.1797829924000001</v>
      </c>
      <c r="U27" s="60">
        <f t="shared" si="8"/>
        <v>1.1813282079999998</v>
      </c>
      <c r="V27" s="61">
        <f t="shared" si="9"/>
        <v>1.176985808</v>
      </c>
      <c r="W27" s="60">
        <f t="shared" si="10"/>
        <v>1.1752463319999999</v>
      </c>
      <c r="X27" s="61">
        <f t="shared" si="11"/>
        <v>1.1773019419999999</v>
      </c>
      <c r="Y27" s="60">
        <f t="shared" si="12"/>
        <v>1.1729743420000003</v>
      </c>
      <c r="Z27" s="61">
        <f t="shared" si="13"/>
        <v>1.1745106400000001</v>
      </c>
    </row>
    <row r="28" spans="2:26" x14ac:dyDescent="0.3">
      <c r="B28" s="9" t="s">
        <v>24</v>
      </c>
      <c r="C28" s="54">
        <v>1.0857000000000001</v>
      </c>
      <c r="D28" s="55">
        <v>1.0847</v>
      </c>
      <c r="E28" s="54">
        <v>1.0869</v>
      </c>
      <c r="F28" s="54">
        <v>1.0841000000000001</v>
      </c>
      <c r="G28" s="82">
        <f t="shared" si="15"/>
        <v>1.0873599999999999</v>
      </c>
      <c r="H28" s="58">
        <f t="shared" si="15"/>
        <v>1.0888599999999999</v>
      </c>
      <c r="I28" s="59">
        <f t="shared" si="15"/>
        <v>1.0848800000000001</v>
      </c>
      <c r="J28" s="58">
        <f t="shared" si="1"/>
        <v>1.0859999999999999</v>
      </c>
      <c r="K28" s="59">
        <f t="shared" si="2"/>
        <v>1.0857000000000001</v>
      </c>
      <c r="L28" s="61">
        <f t="shared" si="3"/>
        <v>1.1823517695999997</v>
      </c>
      <c r="M28" s="60">
        <f t="shared" si="3"/>
        <v>1.1856160995999998</v>
      </c>
      <c r="N28" s="61">
        <f t="shared" si="3"/>
        <v>1.1769646144000001</v>
      </c>
      <c r="O28" s="60">
        <f t="shared" si="3"/>
        <v>1.1793959999999997</v>
      </c>
      <c r="P28" s="61">
        <f t="shared" si="3"/>
        <v>1.1787444900000001</v>
      </c>
      <c r="Q28" s="60">
        <f t="shared" si="4"/>
        <v>1.1839828095999998</v>
      </c>
      <c r="R28" s="61">
        <f t="shared" si="5"/>
        <v>1.1796551168</v>
      </c>
      <c r="S28" s="60">
        <f t="shared" si="6"/>
        <v>1.1808729599999996</v>
      </c>
      <c r="T28" s="61">
        <f t="shared" si="7"/>
        <v>1.1812824368000001</v>
      </c>
      <c r="U28" s="60">
        <f t="shared" si="8"/>
        <v>1.1825019599999997</v>
      </c>
      <c r="V28" s="61">
        <f t="shared" si="9"/>
        <v>1.17817968</v>
      </c>
      <c r="W28" s="60">
        <f t="shared" si="10"/>
        <v>1.1805467519999999</v>
      </c>
      <c r="X28" s="61">
        <f t="shared" si="11"/>
        <v>1.1821753020000001</v>
      </c>
      <c r="Y28" s="60">
        <f t="shared" si="12"/>
        <v>1.1778542160000003</v>
      </c>
      <c r="Z28" s="61">
        <f t="shared" si="13"/>
        <v>1.1790702</v>
      </c>
    </row>
    <row r="29" spans="2:26" x14ac:dyDescent="0.3">
      <c r="B29" s="9" t="s">
        <v>25</v>
      </c>
      <c r="C29" s="54">
        <v>1.0844</v>
      </c>
      <c r="D29" s="55">
        <v>1.0840000000000001</v>
      </c>
      <c r="E29" s="54">
        <v>1.087</v>
      </c>
      <c r="F29" s="54">
        <v>1.0827</v>
      </c>
      <c r="G29" s="82">
        <f t="shared" si="15"/>
        <v>1.0893200000000001</v>
      </c>
      <c r="H29" s="58">
        <f t="shared" si="15"/>
        <v>1.0902800000000001</v>
      </c>
      <c r="I29" s="59">
        <f t="shared" si="15"/>
        <v>1.0862000000000001</v>
      </c>
      <c r="J29" s="58">
        <f t="shared" si="1"/>
        <v>1.08704</v>
      </c>
      <c r="K29" s="59">
        <f t="shared" si="2"/>
        <v>1.0844</v>
      </c>
      <c r="L29" s="61">
        <f t="shared" si="3"/>
        <v>1.1866180624000002</v>
      </c>
      <c r="M29" s="60">
        <f t="shared" si="3"/>
        <v>1.1887104784000002</v>
      </c>
      <c r="N29" s="61">
        <f t="shared" si="3"/>
        <v>1.1798304400000001</v>
      </c>
      <c r="O29" s="60">
        <f t="shared" si="3"/>
        <v>1.1816559616</v>
      </c>
      <c r="P29" s="61">
        <f t="shared" si="3"/>
        <v>1.1759233600000001</v>
      </c>
      <c r="Q29" s="60">
        <f t="shared" si="4"/>
        <v>1.1876638096000003</v>
      </c>
      <c r="R29" s="61">
        <f t="shared" si="5"/>
        <v>1.183219384</v>
      </c>
      <c r="S29" s="60">
        <f t="shared" si="6"/>
        <v>1.1841344128</v>
      </c>
      <c r="T29" s="61">
        <f t="shared" si="7"/>
        <v>1.1842621360000003</v>
      </c>
      <c r="U29" s="60">
        <f t="shared" si="8"/>
        <v>1.1851779712000001</v>
      </c>
      <c r="V29" s="61">
        <f t="shared" si="9"/>
        <v>1.180742848</v>
      </c>
      <c r="W29" s="60">
        <f t="shared" si="10"/>
        <v>1.181258608</v>
      </c>
      <c r="X29" s="61">
        <f t="shared" si="11"/>
        <v>1.1822996320000001</v>
      </c>
      <c r="Y29" s="60">
        <f t="shared" si="12"/>
        <v>1.1778752800000001</v>
      </c>
      <c r="Z29" s="61">
        <f t="shared" si="13"/>
        <v>1.178786176</v>
      </c>
    </row>
    <row r="30" spans="2:26" x14ac:dyDescent="0.3">
      <c r="B30" s="9" t="s">
        <v>26</v>
      </c>
      <c r="C30" s="54">
        <v>1.0839000000000001</v>
      </c>
      <c r="D30" s="55">
        <v>1.0853999999999999</v>
      </c>
      <c r="E30" s="54">
        <v>1.0868</v>
      </c>
      <c r="F30" s="54">
        <v>1.0826</v>
      </c>
      <c r="G30" s="82">
        <f t="shared" si="15"/>
        <v>1.09022</v>
      </c>
      <c r="H30" s="58">
        <f t="shared" si="15"/>
        <v>1.0918800000000002</v>
      </c>
      <c r="I30" s="59">
        <f t="shared" si="15"/>
        <v>1.08758</v>
      </c>
      <c r="J30" s="58">
        <f t="shared" si="1"/>
        <v>1.089</v>
      </c>
      <c r="K30" s="59">
        <f t="shared" si="2"/>
        <v>1.0839000000000001</v>
      </c>
      <c r="L30" s="61">
        <f t="shared" si="3"/>
        <v>1.1885796484</v>
      </c>
      <c r="M30" s="60">
        <f t="shared" si="3"/>
        <v>1.1922019344000003</v>
      </c>
      <c r="N30" s="61">
        <f t="shared" si="3"/>
        <v>1.1828302563999999</v>
      </c>
      <c r="O30" s="60">
        <f t="shared" si="3"/>
        <v>1.185921</v>
      </c>
      <c r="P30" s="61">
        <f t="shared" si="3"/>
        <v>1.1748392100000002</v>
      </c>
      <c r="Q30" s="60">
        <f t="shared" si="4"/>
        <v>1.1903894136000002</v>
      </c>
      <c r="R30" s="61">
        <f t="shared" si="5"/>
        <v>1.1857014675999999</v>
      </c>
      <c r="S30" s="60">
        <f t="shared" si="6"/>
        <v>1.18724958</v>
      </c>
      <c r="T30" s="61">
        <f t="shared" si="7"/>
        <v>1.1875068504000001</v>
      </c>
      <c r="U30" s="60">
        <f t="shared" si="8"/>
        <v>1.1890573200000001</v>
      </c>
      <c r="V30" s="61">
        <f t="shared" si="9"/>
        <v>1.18437462</v>
      </c>
      <c r="W30" s="60">
        <f t="shared" si="10"/>
        <v>1.1816894580000001</v>
      </c>
      <c r="X30" s="61">
        <f t="shared" si="11"/>
        <v>1.1834887320000003</v>
      </c>
      <c r="Y30" s="60">
        <f t="shared" si="12"/>
        <v>1.1788279620000002</v>
      </c>
      <c r="Z30" s="61">
        <f t="shared" si="13"/>
        <v>1.1803671</v>
      </c>
    </row>
    <row r="31" spans="2:26" x14ac:dyDescent="0.3">
      <c r="B31" s="9" t="s">
        <v>27</v>
      </c>
      <c r="C31" s="54">
        <v>1.0851</v>
      </c>
      <c r="D31" s="55">
        <v>1.0891999999999999</v>
      </c>
      <c r="E31" s="54">
        <v>1.0898000000000001</v>
      </c>
      <c r="F31" s="54">
        <v>1.0843</v>
      </c>
      <c r="G31" s="82">
        <f t="shared" si="15"/>
        <v>1.0902800000000001</v>
      </c>
      <c r="H31" s="58">
        <f t="shared" si="15"/>
        <v>1.0920400000000001</v>
      </c>
      <c r="I31" s="59">
        <f t="shared" si="15"/>
        <v>1.0881399999999999</v>
      </c>
      <c r="J31" s="58">
        <f t="shared" si="1"/>
        <v>1.0899199999999998</v>
      </c>
      <c r="K31" s="59">
        <f t="shared" si="2"/>
        <v>1.0851</v>
      </c>
      <c r="L31" s="61">
        <f t="shared" si="3"/>
        <v>1.1887104784000002</v>
      </c>
      <c r="M31" s="60">
        <f t="shared" si="3"/>
        <v>1.1925513616000003</v>
      </c>
      <c r="N31" s="61">
        <f t="shared" si="3"/>
        <v>1.1840486595999997</v>
      </c>
      <c r="O31" s="60">
        <f t="shared" si="3"/>
        <v>1.1879256063999994</v>
      </c>
      <c r="P31" s="61">
        <f t="shared" si="3"/>
        <v>1.1774420099999998</v>
      </c>
      <c r="Q31" s="60">
        <f t="shared" si="4"/>
        <v>1.1906293712000002</v>
      </c>
      <c r="R31" s="61">
        <f t="shared" si="5"/>
        <v>1.1863772792</v>
      </c>
      <c r="S31" s="60">
        <f t="shared" si="6"/>
        <v>1.1883179775999999</v>
      </c>
      <c r="T31" s="61">
        <f t="shared" si="7"/>
        <v>1.1882924055999999</v>
      </c>
      <c r="U31" s="60">
        <f t="shared" si="8"/>
        <v>1.1902362367999999</v>
      </c>
      <c r="V31" s="61">
        <f t="shared" si="9"/>
        <v>1.1859855487999997</v>
      </c>
      <c r="W31" s="60">
        <f t="shared" si="10"/>
        <v>1.1830628280000002</v>
      </c>
      <c r="X31" s="61">
        <f t="shared" si="11"/>
        <v>1.1849726040000002</v>
      </c>
      <c r="Y31" s="60">
        <f t="shared" si="12"/>
        <v>1.1807407139999999</v>
      </c>
      <c r="Z31" s="61">
        <f t="shared" si="13"/>
        <v>1.1826721919999996</v>
      </c>
    </row>
    <row r="32" spans="2:26" x14ac:dyDescent="0.3">
      <c r="B32" s="9" t="s">
        <v>28</v>
      </c>
      <c r="C32" s="54">
        <v>1.0889</v>
      </c>
      <c r="D32" s="55">
        <v>1.0881000000000001</v>
      </c>
      <c r="E32" s="54">
        <v>1.0904</v>
      </c>
      <c r="F32" s="54">
        <v>1.0871999999999999</v>
      </c>
      <c r="G32" s="82">
        <f t="shared" si="15"/>
        <v>1.0904000000000003</v>
      </c>
      <c r="H32" s="58">
        <f t="shared" si="15"/>
        <v>1.0924200000000002</v>
      </c>
      <c r="I32" s="59">
        <f t="shared" si="15"/>
        <v>1.0883600000000002</v>
      </c>
      <c r="J32" s="58">
        <f t="shared" si="1"/>
        <v>1.0900199999999998</v>
      </c>
      <c r="K32" s="59">
        <f t="shared" si="2"/>
        <v>1.0889</v>
      </c>
      <c r="L32" s="61">
        <f t="shared" si="3"/>
        <v>1.1889721600000005</v>
      </c>
      <c r="M32" s="60">
        <f t="shared" si="3"/>
        <v>1.1933814564000003</v>
      </c>
      <c r="N32" s="61">
        <f t="shared" si="3"/>
        <v>1.1845274896000004</v>
      </c>
      <c r="O32" s="60">
        <f t="shared" si="3"/>
        <v>1.1881436003999994</v>
      </c>
      <c r="P32" s="61">
        <f t="shared" si="3"/>
        <v>1.18570321</v>
      </c>
      <c r="Q32" s="60">
        <f t="shared" si="4"/>
        <v>1.1911747680000004</v>
      </c>
      <c r="R32" s="61">
        <f t="shared" si="5"/>
        <v>1.1867477440000005</v>
      </c>
      <c r="S32" s="60">
        <f t="shared" si="6"/>
        <v>1.1885578080000001</v>
      </c>
      <c r="T32" s="61">
        <f t="shared" si="7"/>
        <v>1.1889462312000003</v>
      </c>
      <c r="U32" s="60">
        <f t="shared" si="8"/>
        <v>1.1907596484</v>
      </c>
      <c r="V32" s="61">
        <f t="shared" si="9"/>
        <v>1.1863341672000001</v>
      </c>
      <c r="W32" s="60">
        <f t="shared" si="10"/>
        <v>1.1873365600000003</v>
      </c>
      <c r="X32" s="61">
        <f t="shared" si="11"/>
        <v>1.1895361380000002</v>
      </c>
      <c r="Y32" s="60">
        <f t="shared" si="12"/>
        <v>1.1851152040000001</v>
      </c>
      <c r="Z32" s="61">
        <f t="shared" si="13"/>
        <v>1.1869227779999998</v>
      </c>
    </row>
    <row r="33" spans="2:26" x14ac:dyDescent="0.3">
      <c r="B33" s="9" t="s">
        <v>29</v>
      </c>
      <c r="C33" s="54">
        <v>1.0876999999999999</v>
      </c>
      <c r="D33" s="55">
        <v>1.0901000000000001</v>
      </c>
      <c r="E33" s="54">
        <v>1.0903</v>
      </c>
      <c r="F33" s="54">
        <v>1.0875999999999999</v>
      </c>
      <c r="G33" s="82">
        <f t="shared" si="15"/>
        <v>1.0897000000000001</v>
      </c>
      <c r="H33" s="58">
        <f t="shared" si="15"/>
        <v>1.0926</v>
      </c>
      <c r="I33" s="59">
        <f t="shared" si="15"/>
        <v>1.08806</v>
      </c>
      <c r="J33" s="58">
        <f t="shared" si="1"/>
        <v>1.0905999999999998</v>
      </c>
      <c r="K33" s="59">
        <f t="shared" si="2"/>
        <v>1.0876999999999999</v>
      </c>
      <c r="L33" s="61">
        <f t="shared" si="3"/>
        <v>1.1874460900000003</v>
      </c>
      <c r="M33" s="60">
        <f t="shared" si="3"/>
        <v>1.1937747599999999</v>
      </c>
      <c r="N33" s="61">
        <f t="shared" si="3"/>
        <v>1.1838745636000001</v>
      </c>
      <c r="O33" s="60">
        <f t="shared" si="3"/>
        <v>1.1894083599999996</v>
      </c>
      <c r="P33" s="61">
        <f t="shared" si="3"/>
        <v>1.1830912899999997</v>
      </c>
      <c r="Q33" s="60">
        <f t="shared" si="4"/>
        <v>1.19060622</v>
      </c>
      <c r="R33" s="61">
        <f t="shared" si="5"/>
        <v>1.1856589820000001</v>
      </c>
      <c r="S33" s="60">
        <f t="shared" si="6"/>
        <v>1.1884268199999999</v>
      </c>
      <c r="T33" s="61">
        <f t="shared" si="7"/>
        <v>1.188814356</v>
      </c>
      <c r="U33" s="60">
        <f t="shared" si="8"/>
        <v>1.1915895599999997</v>
      </c>
      <c r="V33" s="61">
        <f t="shared" si="9"/>
        <v>1.1866382359999998</v>
      </c>
      <c r="W33" s="60">
        <f t="shared" si="10"/>
        <v>1.18526669</v>
      </c>
      <c r="X33" s="61">
        <f t="shared" si="11"/>
        <v>1.1884210199999998</v>
      </c>
      <c r="Y33" s="60">
        <f t="shared" si="12"/>
        <v>1.183482862</v>
      </c>
      <c r="Z33" s="61">
        <f t="shared" si="13"/>
        <v>1.1862456199999996</v>
      </c>
    </row>
    <row r="34" spans="2:26" x14ac:dyDescent="0.3">
      <c r="B34" s="9" t="s">
        <v>30</v>
      </c>
      <c r="C34" s="54">
        <v>1.0895999999999999</v>
      </c>
      <c r="D34" s="55">
        <v>1.0938000000000001</v>
      </c>
      <c r="E34" s="54">
        <v>1.0941000000000001</v>
      </c>
      <c r="F34" s="54">
        <v>1.0892999999999999</v>
      </c>
      <c r="G34" s="82">
        <f t="shared" si="15"/>
        <v>1.0875600000000001</v>
      </c>
      <c r="H34" s="58">
        <f t="shared" si="15"/>
        <v>1.0917999999999999</v>
      </c>
      <c r="I34" s="59">
        <f t="shared" si="15"/>
        <v>1.0867200000000001</v>
      </c>
      <c r="J34" s="58">
        <f t="shared" si="1"/>
        <v>1.0899799999999999</v>
      </c>
      <c r="K34" s="59">
        <f t="shared" si="2"/>
        <v>1.0895999999999999</v>
      </c>
      <c r="L34" s="61">
        <f t="shared" si="3"/>
        <v>1.1827867536000001</v>
      </c>
      <c r="M34" s="60">
        <f t="shared" si="3"/>
        <v>1.1920272399999998</v>
      </c>
      <c r="N34" s="61">
        <f t="shared" si="3"/>
        <v>1.1809603584000004</v>
      </c>
      <c r="O34" s="60">
        <f t="shared" si="3"/>
        <v>1.1880564003999998</v>
      </c>
      <c r="P34" s="61">
        <f t="shared" si="3"/>
        <v>1.1872281599999999</v>
      </c>
      <c r="Q34" s="60">
        <f t="shared" si="4"/>
        <v>1.1873980079999999</v>
      </c>
      <c r="R34" s="61">
        <f t="shared" si="5"/>
        <v>1.1818732032000003</v>
      </c>
      <c r="S34" s="60">
        <f t="shared" si="6"/>
        <v>1.1854186488</v>
      </c>
      <c r="T34" s="61">
        <f t="shared" si="7"/>
        <v>1.186480896</v>
      </c>
      <c r="U34" s="60">
        <f t="shared" si="8"/>
        <v>1.1900401639999998</v>
      </c>
      <c r="V34" s="61">
        <f t="shared" si="9"/>
        <v>1.1845030656000002</v>
      </c>
      <c r="W34" s="60">
        <f t="shared" si="10"/>
        <v>1.1850053759999999</v>
      </c>
      <c r="X34" s="61">
        <f t="shared" si="11"/>
        <v>1.1896252799999998</v>
      </c>
      <c r="Y34" s="60">
        <f t="shared" si="12"/>
        <v>1.184090112</v>
      </c>
      <c r="Z34" s="61">
        <f t="shared" si="13"/>
        <v>1.1876422079999998</v>
      </c>
    </row>
    <row r="35" spans="2:26" x14ac:dyDescent="0.3">
      <c r="B35" s="9" t="s">
        <v>31</v>
      </c>
      <c r="C35" s="54">
        <v>1.0936999999999999</v>
      </c>
      <c r="D35" s="55">
        <v>1.0899000000000001</v>
      </c>
      <c r="E35" s="54">
        <v>1.0948</v>
      </c>
      <c r="F35" s="54">
        <v>1.0894999999999999</v>
      </c>
      <c r="G35" s="82">
        <f t="shared" ref="G35:I50" si="16">AVERAGE(D36:D40)</f>
        <v>1.0858399999999999</v>
      </c>
      <c r="H35" s="58">
        <f t="shared" si="16"/>
        <v>1.08948</v>
      </c>
      <c r="I35" s="59">
        <f t="shared" si="16"/>
        <v>1.08504</v>
      </c>
      <c r="J35" s="58">
        <f t="shared" si="1"/>
        <v>1.0878400000000001</v>
      </c>
      <c r="K35" s="59">
        <f t="shared" si="2"/>
        <v>1.0936999999999999</v>
      </c>
      <c r="L35" s="61">
        <f t="shared" si="3"/>
        <v>1.1790485055999997</v>
      </c>
      <c r="M35" s="60">
        <f t="shared" si="3"/>
        <v>1.1869666703999999</v>
      </c>
      <c r="N35" s="61">
        <f t="shared" si="3"/>
        <v>1.1773118015999999</v>
      </c>
      <c r="O35" s="60">
        <f t="shared" si="3"/>
        <v>1.1833958656000003</v>
      </c>
      <c r="P35" s="61">
        <f t="shared" si="3"/>
        <v>1.1961796899999997</v>
      </c>
      <c r="Q35" s="60">
        <f t="shared" si="4"/>
        <v>1.1830009631999998</v>
      </c>
      <c r="R35" s="61">
        <f t="shared" si="5"/>
        <v>1.1781798336</v>
      </c>
      <c r="S35" s="60">
        <f t="shared" si="6"/>
        <v>1.1812201856</v>
      </c>
      <c r="T35" s="61">
        <f t="shared" si="7"/>
        <v>1.1821293792000001</v>
      </c>
      <c r="U35" s="60">
        <f t="shared" si="8"/>
        <v>1.1851799232000002</v>
      </c>
      <c r="V35" s="61">
        <f t="shared" si="9"/>
        <v>1.1803499136000002</v>
      </c>
      <c r="W35" s="60">
        <f t="shared" si="10"/>
        <v>1.1875832079999997</v>
      </c>
      <c r="X35" s="61">
        <f t="shared" si="11"/>
        <v>1.1915642759999998</v>
      </c>
      <c r="Y35" s="60">
        <f t="shared" si="12"/>
        <v>1.186708248</v>
      </c>
      <c r="Z35" s="61">
        <f t="shared" si="13"/>
        <v>1.1897706080000001</v>
      </c>
    </row>
    <row r="36" spans="2:26" x14ac:dyDescent="0.3">
      <c r="B36" s="9" t="s">
        <v>32</v>
      </c>
      <c r="C36" s="54">
        <v>1.0896999999999999</v>
      </c>
      <c r="D36" s="55">
        <v>1.0894999999999999</v>
      </c>
      <c r="E36" s="54">
        <v>1.0906</v>
      </c>
      <c r="F36" s="54">
        <v>1.0871</v>
      </c>
      <c r="G36" s="82">
        <f t="shared" si="16"/>
        <v>1.0845199999999999</v>
      </c>
      <c r="H36" s="58">
        <f t="shared" si="16"/>
        <v>1.0880399999999999</v>
      </c>
      <c r="I36" s="59">
        <f t="shared" si="16"/>
        <v>1.08372</v>
      </c>
      <c r="J36" s="58">
        <f t="shared" si="1"/>
        <v>1.0861399999999999</v>
      </c>
      <c r="K36" s="59">
        <f t="shared" si="2"/>
        <v>1.0896999999999999</v>
      </c>
      <c r="L36" s="61">
        <f t="shared" si="3"/>
        <v>1.1761836303999997</v>
      </c>
      <c r="M36" s="60">
        <f t="shared" si="3"/>
        <v>1.1838310415999997</v>
      </c>
      <c r="N36" s="61">
        <f t="shared" si="3"/>
        <v>1.1744490384000001</v>
      </c>
      <c r="O36" s="60">
        <f t="shared" si="3"/>
        <v>1.1797000995999998</v>
      </c>
      <c r="P36" s="61">
        <f t="shared" si="3"/>
        <v>1.1874460899999997</v>
      </c>
      <c r="Q36" s="60">
        <f t="shared" si="4"/>
        <v>1.1800011407999997</v>
      </c>
      <c r="R36" s="61">
        <f t="shared" si="5"/>
        <v>1.1753160143999999</v>
      </c>
      <c r="S36" s="60">
        <f t="shared" si="6"/>
        <v>1.1779405527999998</v>
      </c>
      <c r="T36" s="61">
        <f t="shared" si="7"/>
        <v>1.1791307087999998</v>
      </c>
      <c r="U36" s="60">
        <f t="shared" si="8"/>
        <v>1.1817637655999997</v>
      </c>
      <c r="V36" s="61">
        <f t="shared" si="9"/>
        <v>1.1770716407999999</v>
      </c>
      <c r="W36" s="60">
        <f t="shared" si="10"/>
        <v>1.1818014439999998</v>
      </c>
      <c r="X36" s="61">
        <f t="shared" si="11"/>
        <v>1.1856371879999998</v>
      </c>
      <c r="Y36" s="60">
        <f t="shared" si="12"/>
        <v>1.1809296839999999</v>
      </c>
      <c r="Z36" s="61">
        <f t="shared" si="13"/>
        <v>1.1835667579999998</v>
      </c>
    </row>
    <row r="37" spans="2:26" x14ac:dyDescent="0.3">
      <c r="B37" s="9" t="s">
        <v>33</v>
      </c>
      <c r="C37" s="54">
        <v>1.0893999999999999</v>
      </c>
      <c r="D37" s="55">
        <v>1.0887</v>
      </c>
      <c r="E37" s="54">
        <v>1.0923</v>
      </c>
      <c r="F37" s="54">
        <v>1.0883</v>
      </c>
      <c r="G37" s="82">
        <f t="shared" si="16"/>
        <v>1.0829599999999999</v>
      </c>
      <c r="H37" s="58">
        <f t="shared" si="16"/>
        <v>1.0865</v>
      </c>
      <c r="I37" s="59">
        <f t="shared" si="16"/>
        <v>1.0821000000000001</v>
      </c>
      <c r="J37" s="58">
        <f t="shared" si="1"/>
        <v>1.0847000000000002</v>
      </c>
      <c r="K37" s="59">
        <f t="shared" si="2"/>
        <v>1.0893999999999999</v>
      </c>
      <c r="L37" s="61">
        <f t="shared" si="3"/>
        <v>1.1728023615999998</v>
      </c>
      <c r="M37" s="60">
        <f t="shared" si="3"/>
        <v>1.1804822500000001</v>
      </c>
      <c r="N37" s="61">
        <f t="shared" si="3"/>
        <v>1.17094041</v>
      </c>
      <c r="O37" s="60">
        <f t="shared" si="3"/>
        <v>1.1765740900000006</v>
      </c>
      <c r="P37" s="61">
        <f t="shared" si="3"/>
        <v>1.1867923599999999</v>
      </c>
      <c r="Q37" s="60">
        <f t="shared" si="4"/>
        <v>1.17663604</v>
      </c>
      <c r="R37" s="61">
        <f t="shared" si="5"/>
        <v>1.1718710159999999</v>
      </c>
      <c r="S37" s="60">
        <f t="shared" si="6"/>
        <v>1.1746867120000002</v>
      </c>
      <c r="T37" s="61">
        <f t="shared" si="7"/>
        <v>1.1757016500000002</v>
      </c>
      <c r="U37" s="60">
        <f t="shared" si="8"/>
        <v>1.1785265500000002</v>
      </c>
      <c r="V37" s="61">
        <f t="shared" si="9"/>
        <v>1.1737538700000003</v>
      </c>
      <c r="W37" s="60">
        <f t="shared" si="10"/>
        <v>1.1797766239999998</v>
      </c>
      <c r="X37" s="61">
        <f t="shared" si="11"/>
        <v>1.1836331</v>
      </c>
      <c r="Y37" s="60">
        <f t="shared" si="12"/>
        <v>1.1788397399999999</v>
      </c>
      <c r="Z37" s="61">
        <f t="shared" si="13"/>
        <v>1.1816721800000001</v>
      </c>
    </row>
    <row r="38" spans="2:26" x14ac:dyDescent="0.3">
      <c r="B38" s="40">
        <v>45633</v>
      </c>
      <c r="C38" s="54">
        <v>1.0906</v>
      </c>
      <c r="D38" s="55">
        <v>1.0866</v>
      </c>
      <c r="E38" s="54">
        <v>1.0911999999999999</v>
      </c>
      <c r="F38" s="54">
        <v>1.0861000000000001</v>
      </c>
      <c r="G38" s="82">
        <f t="shared" si="16"/>
        <v>1.08188</v>
      </c>
      <c r="H38" s="58">
        <f t="shared" si="16"/>
        <v>1.0851200000000001</v>
      </c>
      <c r="I38" s="59">
        <f t="shared" si="16"/>
        <v>1.0810600000000001</v>
      </c>
      <c r="J38" s="58">
        <f t="shared" si="1"/>
        <v>1.0832999999999999</v>
      </c>
      <c r="K38" s="59">
        <f t="shared" si="2"/>
        <v>1.0906</v>
      </c>
      <c r="L38" s="61">
        <f t="shared" si="3"/>
        <v>1.1704643343999999</v>
      </c>
      <c r="M38" s="60">
        <f t="shared" si="3"/>
        <v>1.1774854144000002</v>
      </c>
      <c r="N38" s="61">
        <f t="shared" si="3"/>
        <v>1.1686907236000004</v>
      </c>
      <c r="O38" s="60">
        <f t="shared" si="3"/>
        <v>1.1735388899999999</v>
      </c>
      <c r="P38" s="61">
        <f t="shared" si="3"/>
        <v>1.1894083600000001</v>
      </c>
      <c r="Q38" s="60">
        <f t="shared" si="4"/>
        <v>1.1739696256000001</v>
      </c>
      <c r="R38" s="61">
        <f t="shared" si="5"/>
        <v>1.1695771928000001</v>
      </c>
      <c r="S38" s="60">
        <f t="shared" si="6"/>
        <v>1.1720006039999999</v>
      </c>
      <c r="T38" s="61">
        <f t="shared" si="7"/>
        <v>1.1730798272000003</v>
      </c>
      <c r="U38" s="60">
        <f t="shared" si="8"/>
        <v>1.175510496</v>
      </c>
      <c r="V38" s="61">
        <f t="shared" si="9"/>
        <v>1.1711122980000002</v>
      </c>
      <c r="W38" s="60">
        <f t="shared" si="10"/>
        <v>1.1798983279999999</v>
      </c>
      <c r="X38" s="61">
        <f t="shared" si="11"/>
        <v>1.1834318720000001</v>
      </c>
      <c r="Y38" s="60">
        <f t="shared" si="12"/>
        <v>1.1790040360000003</v>
      </c>
      <c r="Z38" s="61">
        <f t="shared" si="13"/>
        <v>1.18144698</v>
      </c>
    </row>
    <row r="39" spans="2:26" x14ac:dyDescent="0.3">
      <c r="B39" s="40">
        <v>45603</v>
      </c>
      <c r="C39" s="54">
        <v>1.0865</v>
      </c>
      <c r="D39" s="55">
        <v>1.0831</v>
      </c>
      <c r="E39" s="54">
        <v>1.0901000000000001</v>
      </c>
      <c r="F39" s="54">
        <v>1.0826</v>
      </c>
      <c r="G39" s="82">
        <f t="shared" si="16"/>
        <v>1.0809799999999998</v>
      </c>
      <c r="H39" s="58">
        <f t="shared" si="16"/>
        <v>1.08338</v>
      </c>
      <c r="I39" s="59">
        <f t="shared" si="16"/>
        <v>1.0802</v>
      </c>
      <c r="J39" s="58">
        <f t="shared" si="1"/>
        <v>1.0821999999999998</v>
      </c>
      <c r="K39" s="59">
        <f t="shared" si="2"/>
        <v>1.0865</v>
      </c>
      <c r="L39" s="61">
        <f t="shared" si="3"/>
        <v>1.1685177603999997</v>
      </c>
      <c r="M39" s="60">
        <f t="shared" si="3"/>
        <v>1.1737122244</v>
      </c>
      <c r="N39" s="61">
        <f t="shared" si="3"/>
        <v>1.1668320400000001</v>
      </c>
      <c r="O39" s="60">
        <f t="shared" si="3"/>
        <v>1.1711568399999996</v>
      </c>
      <c r="P39" s="61">
        <f t="shared" si="3"/>
        <v>1.1804822500000001</v>
      </c>
      <c r="Q39" s="60">
        <f t="shared" si="4"/>
        <v>1.1711121123999999</v>
      </c>
      <c r="R39" s="61">
        <f t="shared" si="5"/>
        <v>1.1676745959999999</v>
      </c>
      <c r="S39" s="60">
        <f t="shared" si="6"/>
        <v>1.1698365559999997</v>
      </c>
      <c r="T39" s="61">
        <f t="shared" si="7"/>
        <v>1.170267076</v>
      </c>
      <c r="U39" s="60">
        <f t="shared" si="8"/>
        <v>1.1724338359999997</v>
      </c>
      <c r="V39" s="61">
        <f t="shared" si="9"/>
        <v>1.1689924399999998</v>
      </c>
      <c r="W39" s="60">
        <f t="shared" si="10"/>
        <v>1.1744847699999998</v>
      </c>
      <c r="X39" s="61">
        <f t="shared" si="11"/>
        <v>1.17709237</v>
      </c>
      <c r="Y39" s="60">
        <f t="shared" si="12"/>
        <v>1.1736373</v>
      </c>
      <c r="Z39" s="61">
        <f t="shared" si="13"/>
        <v>1.1758102999999998</v>
      </c>
    </row>
    <row r="40" spans="2:26" x14ac:dyDescent="0.3">
      <c r="B40" s="40">
        <v>45572</v>
      </c>
      <c r="C40" s="54">
        <v>1.083</v>
      </c>
      <c r="D40" s="55">
        <v>1.0812999999999999</v>
      </c>
      <c r="E40" s="54">
        <v>1.0831999999999999</v>
      </c>
      <c r="F40" s="54">
        <v>1.0810999999999999</v>
      </c>
      <c r="G40" s="82">
        <f t="shared" si="16"/>
        <v>1.07958</v>
      </c>
      <c r="H40" s="58">
        <f t="shared" si="16"/>
        <v>1.0831000000000002</v>
      </c>
      <c r="I40" s="59">
        <f t="shared" si="16"/>
        <v>1.0786800000000001</v>
      </c>
      <c r="J40" s="58">
        <f t="shared" si="1"/>
        <v>1.0813199999999998</v>
      </c>
      <c r="K40" s="59">
        <f t="shared" si="2"/>
        <v>1.083</v>
      </c>
      <c r="L40" s="61">
        <f t="shared" si="3"/>
        <v>1.1654929763999999</v>
      </c>
      <c r="M40" s="60">
        <f t="shared" si="3"/>
        <v>1.1731056100000004</v>
      </c>
      <c r="N40" s="61">
        <f t="shared" si="3"/>
        <v>1.1635505424000001</v>
      </c>
      <c r="O40" s="60">
        <f t="shared" si="3"/>
        <v>1.1692529423999996</v>
      </c>
      <c r="P40" s="61">
        <f t="shared" si="3"/>
        <v>1.1728889999999998</v>
      </c>
      <c r="Q40" s="60">
        <f t="shared" si="4"/>
        <v>1.1692930980000003</v>
      </c>
      <c r="R40" s="61">
        <f t="shared" si="5"/>
        <v>1.1645213544000002</v>
      </c>
      <c r="S40" s="60">
        <f t="shared" si="6"/>
        <v>1.1673714455999997</v>
      </c>
      <c r="T40" s="61">
        <f t="shared" si="7"/>
        <v>1.1683183080000004</v>
      </c>
      <c r="U40" s="60">
        <f t="shared" si="8"/>
        <v>1.1711776920000001</v>
      </c>
      <c r="V40" s="61">
        <f t="shared" si="9"/>
        <v>1.1663982575999998</v>
      </c>
      <c r="W40" s="60">
        <f t="shared" si="10"/>
        <v>1.16918514</v>
      </c>
      <c r="X40" s="61">
        <f t="shared" si="11"/>
        <v>1.1729973000000002</v>
      </c>
      <c r="Y40" s="60">
        <f t="shared" si="12"/>
        <v>1.16821044</v>
      </c>
      <c r="Z40" s="61">
        <f t="shared" si="13"/>
        <v>1.1710695599999998</v>
      </c>
    </row>
    <row r="41" spans="2:26" x14ac:dyDescent="0.3">
      <c r="B41" s="40">
        <v>45542</v>
      </c>
      <c r="C41" s="54">
        <v>1.0811999999999999</v>
      </c>
      <c r="D41" s="55">
        <v>1.0829</v>
      </c>
      <c r="E41" s="54">
        <v>1.0833999999999999</v>
      </c>
      <c r="F41" s="54">
        <v>1.0805</v>
      </c>
      <c r="G41" s="82">
        <f t="shared" si="16"/>
        <v>1.0778199999999998</v>
      </c>
      <c r="H41" s="58">
        <f t="shared" si="16"/>
        <v>1.0813799999999998</v>
      </c>
      <c r="I41" s="59">
        <f t="shared" si="16"/>
        <v>1.0767599999999999</v>
      </c>
      <c r="J41" s="58">
        <f t="shared" si="1"/>
        <v>1.07996</v>
      </c>
      <c r="K41" s="59">
        <f t="shared" si="2"/>
        <v>1.0811999999999999</v>
      </c>
      <c r="L41" s="61">
        <f t="shared" si="3"/>
        <v>1.1616959523999995</v>
      </c>
      <c r="M41" s="60">
        <f t="shared" si="3"/>
        <v>1.1693827043999996</v>
      </c>
      <c r="N41" s="61">
        <f t="shared" si="3"/>
        <v>1.1594120976</v>
      </c>
      <c r="O41" s="60">
        <f t="shared" si="3"/>
        <v>1.1663136016</v>
      </c>
      <c r="P41" s="61">
        <f t="shared" si="3"/>
        <v>1.1689934399999999</v>
      </c>
      <c r="Q41" s="60">
        <f t="shared" si="4"/>
        <v>1.1655329915999995</v>
      </c>
      <c r="R41" s="61">
        <f t="shared" si="5"/>
        <v>1.1605534631999996</v>
      </c>
      <c r="S41" s="60">
        <f t="shared" si="6"/>
        <v>1.1640024871999999</v>
      </c>
      <c r="T41" s="61">
        <f t="shared" si="7"/>
        <v>1.1643867287999996</v>
      </c>
      <c r="U41" s="60">
        <f t="shared" si="8"/>
        <v>1.1678471447999998</v>
      </c>
      <c r="V41" s="61">
        <f t="shared" si="9"/>
        <v>1.1628577296</v>
      </c>
      <c r="W41" s="60">
        <f t="shared" si="10"/>
        <v>1.1653389839999997</v>
      </c>
      <c r="X41" s="61">
        <f t="shared" si="11"/>
        <v>1.1691880559999996</v>
      </c>
      <c r="Y41" s="60">
        <f t="shared" si="12"/>
        <v>1.1641929119999999</v>
      </c>
      <c r="Z41" s="61">
        <f t="shared" si="13"/>
        <v>1.167652752</v>
      </c>
    </row>
    <row r="42" spans="2:26" x14ac:dyDescent="0.3">
      <c r="B42" s="40">
        <v>45511</v>
      </c>
      <c r="C42" s="54">
        <v>1.0822000000000001</v>
      </c>
      <c r="D42" s="55">
        <v>1.0809</v>
      </c>
      <c r="E42" s="54">
        <v>1.0846</v>
      </c>
      <c r="F42" s="54">
        <v>1.0802</v>
      </c>
      <c r="G42" s="82">
        <f t="shared" si="16"/>
        <v>1.0761999999999998</v>
      </c>
      <c r="H42" s="58">
        <f t="shared" si="16"/>
        <v>1.08</v>
      </c>
      <c r="I42" s="59">
        <f t="shared" si="16"/>
        <v>1.0751000000000002</v>
      </c>
      <c r="J42" s="58">
        <f t="shared" si="1"/>
        <v>1.0782799999999999</v>
      </c>
      <c r="K42" s="59">
        <f t="shared" si="2"/>
        <v>1.0822000000000001</v>
      </c>
      <c r="L42" s="61">
        <f t="shared" si="3"/>
        <v>1.1582064399999996</v>
      </c>
      <c r="M42" s="60">
        <f t="shared" si="3"/>
        <v>1.1664000000000001</v>
      </c>
      <c r="N42" s="61">
        <f t="shared" si="3"/>
        <v>1.1558400100000004</v>
      </c>
      <c r="O42" s="60">
        <f t="shared" si="3"/>
        <v>1.1626877583999997</v>
      </c>
      <c r="P42" s="61">
        <f t="shared" si="3"/>
        <v>1.1711568400000001</v>
      </c>
      <c r="Q42" s="60">
        <f t="shared" si="4"/>
        <v>1.162296</v>
      </c>
      <c r="R42" s="61">
        <f t="shared" si="5"/>
        <v>1.15702262</v>
      </c>
      <c r="S42" s="60">
        <f t="shared" si="6"/>
        <v>1.1604449359999998</v>
      </c>
      <c r="T42" s="61">
        <f t="shared" si="7"/>
        <v>1.1611080000000003</v>
      </c>
      <c r="U42" s="60">
        <f t="shared" si="8"/>
        <v>1.1645424</v>
      </c>
      <c r="V42" s="61">
        <f t="shared" si="9"/>
        <v>1.159258828</v>
      </c>
      <c r="W42" s="60">
        <f t="shared" si="10"/>
        <v>1.1646636399999999</v>
      </c>
      <c r="X42" s="61">
        <f t="shared" si="11"/>
        <v>1.168776</v>
      </c>
      <c r="Y42" s="60">
        <f t="shared" si="12"/>
        <v>1.1634732200000002</v>
      </c>
      <c r="Z42" s="61">
        <f t="shared" si="13"/>
        <v>1.1669146159999999</v>
      </c>
    </row>
    <row r="43" spans="2:26" x14ac:dyDescent="0.3">
      <c r="B43" s="40">
        <v>45419</v>
      </c>
      <c r="C43" s="54">
        <v>1.0835999999999999</v>
      </c>
      <c r="D43" s="55">
        <v>1.0811999999999999</v>
      </c>
      <c r="E43" s="54">
        <v>1.0843</v>
      </c>
      <c r="F43" s="54">
        <v>1.0809</v>
      </c>
      <c r="G43" s="82">
        <f t="shared" si="16"/>
        <v>1.0740199999999998</v>
      </c>
      <c r="H43" s="58">
        <f t="shared" si="16"/>
        <v>1.0776599999999998</v>
      </c>
      <c r="I43" s="59">
        <f t="shared" si="16"/>
        <v>1.0726</v>
      </c>
      <c r="J43" s="58">
        <f t="shared" si="1"/>
        <v>1.07582</v>
      </c>
      <c r="K43" s="59">
        <f t="shared" si="2"/>
        <v>1.0835999999999999</v>
      </c>
      <c r="L43" s="61">
        <f t="shared" si="3"/>
        <v>1.1535189603999996</v>
      </c>
      <c r="M43" s="60">
        <f t="shared" si="3"/>
        <v>1.1613510755999996</v>
      </c>
      <c r="N43" s="61">
        <f t="shared" si="3"/>
        <v>1.1504707599999999</v>
      </c>
      <c r="O43" s="60">
        <f t="shared" si="3"/>
        <v>1.1573886724</v>
      </c>
      <c r="P43" s="61">
        <f t="shared" si="3"/>
        <v>1.1741889599999997</v>
      </c>
      <c r="Q43" s="60">
        <f t="shared" si="4"/>
        <v>1.1574283931999996</v>
      </c>
      <c r="R43" s="61">
        <f t="shared" si="5"/>
        <v>1.1519938519999997</v>
      </c>
      <c r="S43" s="60">
        <f t="shared" si="6"/>
        <v>1.1554521963999997</v>
      </c>
      <c r="T43" s="61">
        <f t="shared" si="7"/>
        <v>1.1558981159999999</v>
      </c>
      <c r="U43" s="60">
        <f t="shared" si="8"/>
        <v>1.1593681811999998</v>
      </c>
      <c r="V43" s="61">
        <f t="shared" si="9"/>
        <v>1.153924532</v>
      </c>
      <c r="W43" s="60">
        <f t="shared" si="10"/>
        <v>1.1638080719999997</v>
      </c>
      <c r="X43" s="61">
        <f t="shared" si="11"/>
        <v>1.1677523759999997</v>
      </c>
      <c r="Y43" s="60">
        <f t="shared" si="12"/>
        <v>1.1622693599999998</v>
      </c>
      <c r="Z43" s="61">
        <f t="shared" si="13"/>
        <v>1.1657585519999998</v>
      </c>
    </row>
    <row r="44" spans="2:26" x14ac:dyDescent="0.3">
      <c r="B44" s="40">
        <v>45389</v>
      </c>
      <c r="C44" s="54">
        <v>1.081</v>
      </c>
      <c r="D44" s="55">
        <v>1.0786</v>
      </c>
      <c r="E44" s="54">
        <v>1.0813999999999999</v>
      </c>
      <c r="F44" s="54">
        <v>1.0783</v>
      </c>
      <c r="G44" s="82">
        <f t="shared" si="16"/>
        <v>1.0719000000000001</v>
      </c>
      <c r="H44" s="58">
        <f t="shared" si="16"/>
        <v>1.0759200000000002</v>
      </c>
      <c r="I44" s="59">
        <f t="shared" si="16"/>
        <v>1.0704600000000002</v>
      </c>
      <c r="J44" s="58">
        <f t="shared" si="1"/>
        <v>1.0736599999999998</v>
      </c>
      <c r="K44" s="59">
        <f t="shared" si="2"/>
        <v>1.081</v>
      </c>
      <c r="L44" s="61">
        <f t="shared" si="3"/>
        <v>1.1489696100000002</v>
      </c>
      <c r="M44" s="60">
        <f t="shared" si="3"/>
        <v>1.1576038464000005</v>
      </c>
      <c r="N44" s="61">
        <f t="shared" si="3"/>
        <v>1.1458846116000003</v>
      </c>
      <c r="O44" s="60">
        <f t="shared" si="3"/>
        <v>1.1527457955999996</v>
      </c>
      <c r="P44" s="61">
        <f t="shared" si="3"/>
        <v>1.168561</v>
      </c>
      <c r="Q44" s="60">
        <f t="shared" si="4"/>
        <v>1.1532786480000004</v>
      </c>
      <c r="R44" s="61">
        <f t="shared" si="5"/>
        <v>1.1474260740000002</v>
      </c>
      <c r="S44" s="60">
        <f t="shared" si="6"/>
        <v>1.150856154</v>
      </c>
      <c r="T44" s="61">
        <f t="shared" si="7"/>
        <v>1.1517293232000003</v>
      </c>
      <c r="U44" s="60">
        <f t="shared" si="8"/>
        <v>1.1551722672</v>
      </c>
      <c r="V44" s="61">
        <f t="shared" si="9"/>
        <v>1.1493100836000001</v>
      </c>
      <c r="W44" s="60">
        <f t="shared" si="10"/>
        <v>1.1587239</v>
      </c>
      <c r="X44" s="61">
        <f t="shared" si="11"/>
        <v>1.1630695200000001</v>
      </c>
      <c r="Y44" s="60">
        <f t="shared" si="12"/>
        <v>1.1571672600000003</v>
      </c>
      <c r="Z44" s="61">
        <f t="shared" si="13"/>
        <v>1.1606264599999998</v>
      </c>
    </row>
    <row r="45" spans="2:26" x14ac:dyDescent="0.3">
      <c r="B45" s="40">
        <v>45358</v>
      </c>
      <c r="C45" s="54">
        <v>1.0786</v>
      </c>
      <c r="D45" s="55">
        <v>1.0743</v>
      </c>
      <c r="E45" s="54">
        <v>1.0818000000000001</v>
      </c>
      <c r="F45" s="54">
        <v>1.0734999999999999</v>
      </c>
      <c r="G45" s="82">
        <f t="shared" si="16"/>
        <v>1.0712999999999999</v>
      </c>
      <c r="H45" s="58">
        <f t="shared" si="16"/>
        <v>1.07392</v>
      </c>
      <c r="I45" s="59">
        <f t="shared" si="16"/>
        <v>1.06908</v>
      </c>
      <c r="J45" s="58">
        <f t="shared" si="1"/>
        <v>1.07152</v>
      </c>
      <c r="K45" s="59">
        <f t="shared" si="2"/>
        <v>1.0786</v>
      </c>
      <c r="L45" s="61">
        <f t="shared" si="3"/>
        <v>1.1476836899999998</v>
      </c>
      <c r="M45" s="60">
        <f t="shared" si="3"/>
        <v>1.1533041663999999</v>
      </c>
      <c r="N45" s="61">
        <f t="shared" si="3"/>
        <v>1.1429320464000001</v>
      </c>
      <c r="O45" s="60">
        <f t="shared" si="3"/>
        <v>1.1481551104000001</v>
      </c>
      <c r="P45" s="61">
        <f t="shared" si="3"/>
        <v>1.16337796</v>
      </c>
      <c r="Q45" s="60">
        <f t="shared" si="4"/>
        <v>1.150490496</v>
      </c>
      <c r="R45" s="61">
        <f t="shared" si="5"/>
        <v>1.1453054039999999</v>
      </c>
      <c r="S45" s="60">
        <f t="shared" si="6"/>
        <v>1.1479193759999999</v>
      </c>
      <c r="T45" s="61">
        <f t="shared" si="7"/>
        <v>1.1481063936</v>
      </c>
      <c r="U45" s="60">
        <f t="shared" si="8"/>
        <v>1.1507267584</v>
      </c>
      <c r="V45" s="61">
        <f t="shared" si="9"/>
        <v>1.1455406016</v>
      </c>
      <c r="W45" s="60">
        <f t="shared" si="10"/>
        <v>1.1555041799999999</v>
      </c>
      <c r="X45" s="61">
        <f t="shared" si="11"/>
        <v>1.158330112</v>
      </c>
      <c r="Y45" s="60">
        <f t="shared" si="12"/>
        <v>1.153109688</v>
      </c>
      <c r="Z45" s="61">
        <f t="shared" si="13"/>
        <v>1.1557414720000001</v>
      </c>
    </row>
    <row r="46" spans="2:26" x14ac:dyDescent="0.3">
      <c r="B46" s="40">
        <v>45329</v>
      </c>
      <c r="C46" s="54">
        <v>1.0744</v>
      </c>
      <c r="D46" s="55">
        <v>1.0741000000000001</v>
      </c>
      <c r="E46" s="54">
        <v>1.0748</v>
      </c>
      <c r="F46" s="54">
        <v>1.0709</v>
      </c>
      <c r="G46" s="82">
        <f t="shared" si="16"/>
        <v>1.07118</v>
      </c>
      <c r="H46" s="58">
        <f t="shared" si="16"/>
        <v>1.0738600000000003</v>
      </c>
      <c r="I46" s="59">
        <f t="shared" si="16"/>
        <v>1.0687</v>
      </c>
      <c r="J46" s="58">
        <f t="shared" si="1"/>
        <v>1.0709</v>
      </c>
      <c r="K46" s="59">
        <f t="shared" si="2"/>
        <v>1.0744</v>
      </c>
      <c r="L46" s="61">
        <f t="shared" si="3"/>
        <v>1.1474265924</v>
      </c>
      <c r="M46" s="60">
        <f t="shared" si="3"/>
        <v>1.1531752996000006</v>
      </c>
      <c r="N46" s="61">
        <f t="shared" si="3"/>
        <v>1.1421196899999999</v>
      </c>
      <c r="O46" s="60">
        <f t="shared" si="3"/>
        <v>1.1468268099999999</v>
      </c>
      <c r="P46" s="61">
        <f t="shared" si="3"/>
        <v>1.1543353600000001</v>
      </c>
      <c r="Q46" s="60">
        <f t="shared" si="4"/>
        <v>1.1502973548000004</v>
      </c>
      <c r="R46" s="61">
        <f t="shared" si="5"/>
        <v>1.144770066</v>
      </c>
      <c r="S46" s="60">
        <f t="shared" si="6"/>
        <v>1.147126662</v>
      </c>
      <c r="T46" s="61">
        <f t="shared" si="7"/>
        <v>1.1476341820000002</v>
      </c>
      <c r="U46" s="60">
        <f t="shared" si="8"/>
        <v>1.1499966740000003</v>
      </c>
      <c r="V46" s="61">
        <f t="shared" si="9"/>
        <v>1.1444708299999999</v>
      </c>
      <c r="W46" s="60">
        <f t="shared" si="10"/>
        <v>1.1508757920000001</v>
      </c>
      <c r="X46" s="61">
        <f t="shared" si="11"/>
        <v>1.1537551840000002</v>
      </c>
      <c r="Y46" s="60">
        <f t="shared" si="12"/>
        <v>1.1482112799999999</v>
      </c>
      <c r="Z46" s="61">
        <f t="shared" si="13"/>
        <v>1.1505749599999999</v>
      </c>
    </row>
    <row r="47" spans="2:26" x14ac:dyDescent="0.3">
      <c r="B47" s="40">
        <v>45298</v>
      </c>
      <c r="C47" s="54">
        <v>1.0738000000000001</v>
      </c>
      <c r="D47" s="55">
        <v>1.0728</v>
      </c>
      <c r="E47" s="54">
        <v>1.0777000000000001</v>
      </c>
      <c r="F47" s="54">
        <v>1.0719000000000001</v>
      </c>
      <c r="G47" s="82">
        <f t="shared" si="16"/>
        <v>1.0703800000000001</v>
      </c>
      <c r="H47" s="58">
        <f t="shared" si="16"/>
        <v>1.0732599999999999</v>
      </c>
      <c r="I47" s="59">
        <f t="shared" si="16"/>
        <v>1.0679799999999999</v>
      </c>
      <c r="J47" s="58">
        <f t="shared" si="1"/>
        <v>1.0707799999999998</v>
      </c>
      <c r="K47" s="59">
        <f t="shared" si="2"/>
        <v>1.0738000000000001</v>
      </c>
      <c r="L47" s="61">
        <f t="shared" si="3"/>
        <v>1.1457133444000003</v>
      </c>
      <c r="M47" s="60">
        <f t="shared" si="3"/>
        <v>1.1518870275999997</v>
      </c>
      <c r="N47" s="61">
        <f t="shared" si="3"/>
        <v>1.1405812804</v>
      </c>
      <c r="O47" s="60">
        <f t="shared" si="3"/>
        <v>1.1465698083999996</v>
      </c>
      <c r="P47" s="61">
        <f t="shared" si="3"/>
        <v>1.1530464400000002</v>
      </c>
      <c r="Q47" s="60">
        <f t="shared" si="4"/>
        <v>1.1487960388</v>
      </c>
      <c r="R47" s="61">
        <f t="shared" si="5"/>
        <v>1.1431444324</v>
      </c>
      <c r="S47" s="60">
        <f t="shared" si="6"/>
        <v>1.1461414963999998</v>
      </c>
      <c r="T47" s="61">
        <f t="shared" si="7"/>
        <v>1.1462202147999998</v>
      </c>
      <c r="U47" s="60">
        <f t="shared" si="8"/>
        <v>1.1492253427999997</v>
      </c>
      <c r="V47" s="61">
        <f t="shared" si="9"/>
        <v>1.1435716243999998</v>
      </c>
      <c r="W47" s="60">
        <f t="shared" si="10"/>
        <v>1.1493740440000002</v>
      </c>
      <c r="X47" s="61">
        <f t="shared" si="11"/>
        <v>1.152466588</v>
      </c>
      <c r="Y47" s="60">
        <f t="shared" si="12"/>
        <v>1.146796924</v>
      </c>
      <c r="Z47" s="61">
        <f t="shared" si="13"/>
        <v>1.1498035639999999</v>
      </c>
    </row>
    <row r="48" spans="2:26" x14ac:dyDescent="0.3">
      <c r="B48" s="9" t="s">
        <v>34</v>
      </c>
      <c r="C48" s="54">
        <v>1.0712999999999999</v>
      </c>
      <c r="D48" s="55">
        <v>1.0703</v>
      </c>
      <c r="E48" s="54">
        <v>1.0726</v>
      </c>
      <c r="F48" s="54">
        <v>1.0684</v>
      </c>
      <c r="G48" s="82">
        <f t="shared" si="16"/>
        <v>1.0703599999999998</v>
      </c>
      <c r="H48" s="58">
        <f t="shared" si="16"/>
        <v>1.0731599999999999</v>
      </c>
      <c r="I48" s="59">
        <f t="shared" si="16"/>
        <v>1.0676999999999999</v>
      </c>
      <c r="J48" s="58">
        <f t="shared" si="1"/>
        <v>1.0703400000000001</v>
      </c>
      <c r="K48" s="59">
        <f t="shared" si="2"/>
        <v>1.0712999999999999</v>
      </c>
      <c r="L48" s="61">
        <f t="shared" si="3"/>
        <v>1.1456705295999994</v>
      </c>
      <c r="M48" s="60">
        <f t="shared" si="3"/>
        <v>1.1516723855999997</v>
      </c>
      <c r="N48" s="61">
        <f t="shared" si="3"/>
        <v>1.1399832899999998</v>
      </c>
      <c r="O48" s="60">
        <f t="shared" si="3"/>
        <v>1.1456277156000001</v>
      </c>
      <c r="P48" s="61">
        <f t="shared" si="3"/>
        <v>1.1476836899999998</v>
      </c>
      <c r="Q48" s="60">
        <f t="shared" si="4"/>
        <v>1.1486675375999997</v>
      </c>
      <c r="R48" s="61">
        <f t="shared" si="5"/>
        <v>1.1428233719999996</v>
      </c>
      <c r="S48" s="60">
        <f t="shared" si="6"/>
        <v>1.1456491223999998</v>
      </c>
      <c r="T48" s="61">
        <f t="shared" si="7"/>
        <v>1.1458129319999997</v>
      </c>
      <c r="U48" s="60">
        <f t="shared" si="8"/>
        <v>1.1486460744</v>
      </c>
      <c r="V48" s="61">
        <f t="shared" si="9"/>
        <v>1.142802018</v>
      </c>
      <c r="W48" s="60">
        <f t="shared" si="10"/>
        <v>1.1466766679999996</v>
      </c>
      <c r="X48" s="61">
        <f t="shared" si="11"/>
        <v>1.1496763079999999</v>
      </c>
      <c r="Y48" s="60">
        <f t="shared" si="12"/>
        <v>1.1438270099999999</v>
      </c>
      <c r="Z48" s="61">
        <f t="shared" si="13"/>
        <v>1.146655242</v>
      </c>
    </row>
    <row r="49" spans="2:26" x14ac:dyDescent="0.3">
      <c r="B49" s="9" t="s">
        <v>35</v>
      </c>
      <c r="C49" s="54">
        <v>1.0702</v>
      </c>
      <c r="D49" s="55">
        <v>1.0680000000000001</v>
      </c>
      <c r="E49" s="54">
        <v>1.0727</v>
      </c>
      <c r="F49" s="54">
        <v>1.0676000000000001</v>
      </c>
      <c r="G49" s="82">
        <f t="shared" si="16"/>
        <v>1.0716600000000001</v>
      </c>
      <c r="H49" s="58">
        <f t="shared" si="16"/>
        <v>1.0736000000000001</v>
      </c>
      <c r="I49" s="59">
        <f t="shared" si="16"/>
        <v>1.0682199999999999</v>
      </c>
      <c r="J49" s="58">
        <f t="shared" si="1"/>
        <v>1.0703</v>
      </c>
      <c r="K49" s="59">
        <f t="shared" si="2"/>
        <v>1.0702</v>
      </c>
      <c r="L49" s="61">
        <f t="shared" si="3"/>
        <v>1.1484551556000002</v>
      </c>
      <c r="M49" s="60">
        <f t="shared" si="3"/>
        <v>1.1526169600000002</v>
      </c>
      <c r="N49" s="61">
        <f t="shared" si="3"/>
        <v>1.1410939683999999</v>
      </c>
      <c r="O49" s="60">
        <f t="shared" si="3"/>
        <v>1.14554209</v>
      </c>
      <c r="P49" s="61">
        <f t="shared" si="3"/>
        <v>1.1453280400000001</v>
      </c>
      <c r="Q49" s="60">
        <f t="shared" si="4"/>
        <v>1.1505341760000001</v>
      </c>
      <c r="R49" s="61">
        <f t="shared" si="5"/>
        <v>1.1447686452000001</v>
      </c>
      <c r="S49" s="60">
        <f t="shared" si="6"/>
        <v>1.1469976980000001</v>
      </c>
      <c r="T49" s="61">
        <f t="shared" si="7"/>
        <v>1.146840992</v>
      </c>
      <c r="U49" s="60">
        <f t="shared" si="8"/>
        <v>1.1490740800000001</v>
      </c>
      <c r="V49" s="61">
        <f t="shared" si="9"/>
        <v>1.143315866</v>
      </c>
      <c r="W49" s="60">
        <f t="shared" si="10"/>
        <v>1.146890532</v>
      </c>
      <c r="X49" s="61">
        <f t="shared" si="11"/>
        <v>1.1489667200000002</v>
      </c>
      <c r="Y49" s="60">
        <f t="shared" si="12"/>
        <v>1.143209044</v>
      </c>
      <c r="Z49" s="61">
        <f t="shared" si="13"/>
        <v>1.1454350600000001</v>
      </c>
    </row>
    <row r="50" spans="2:26" x14ac:dyDescent="0.3">
      <c r="B50" s="9" t="s">
        <v>36</v>
      </c>
      <c r="C50" s="54">
        <v>1.0679000000000001</v>
      </c>
      <c r="D50" s="55">
        <v>1.0712999999999999</v>
      </c>
      <c r="E50" s="54">
        <v>1.0718000000000001</v>
      </c>
      <c r="F50" s="54">
        <v>1.0666</v>
      </c>
      <c r="G50" s="82">
        <f t="shared" si="16"/>
        <v>1.0721999999999998</v>
      </c>
      <c r="H50" s="58">
        <f t="shared" si="16"/>
        <v>1.0743200000000002</v>
      </c>
      <c r="I50" s="59">
        <f t="shared" si="16"/>
        <v>1.06938</v>
      </c>
      <c r="J50" s="58">
        <f t="shared" si="1"/>
        <v>1.0715600000000001</v>
      </c>
      <c r="K50" s="59">
        <f t="shared" si="2"/>
        <v>1.0679000000000001</v>
      </c>
      <c r="L50" s="61">
        <f t="shared" si="3"/>
        <v>1.1496128399999996</v>
      </c>
      <c r="M50" s="60">
        <f t="shared" si="3"/>
        <v>1.1541634624000003</v>
      </c>
      <c r="N50" s="61">
        <f t="shared" si="3"/>
        <v>1.1435735843999999</v>
      </c>
      <c r="O50" s="60">
        <f t="shared" si="3"/>
        <v>1.1482408336000001</v>
      </c>
      <c r="P50" s="61">
        <f t="shared" si="3"/>
        <v>1.1404104100000001</v>
      </c>
      <c r="Q50" s="60">
        <f t="shared" si="4"/>
        <v>1.151885904</v>
      </c>
      <c r="R50" s="61">
        <f t="shared" si="5"/>
        <v>1.1465892359999998</v>
      </c>
      <c r="S50" s="60">
        <f t="shared" si="6"/>
        <v>1.1489266319999998</v>
      </c>
      <c r="T50" s="61">
        <f t="shared" si="7"/>
        <v>1.1488563216000001</v>
      </c>
      <c r="U50" s="60">
        <f t="shared" si="8"/>
        <v>1.1511983392000003</v>
      </c>
      <c r="V50" s="61">
        <f t="shared" si="9"/>
        <v>1.1459048328000001</v>
      </c>
      <c r="W50" s="60">
        <f t="shared" si="10"/>
        <v>1.14500238</v>
      </c>
      <c r="X50" s="61">
        <f t="shared" si="11"/>
        <v>1.1472663280000002</v>
      </c>
      <c r="Y50" s="60">
        <f t="shared" si="12"/>
        <v>1.1419909020000001</v>
      </c>
      <c r="Z50" s="61">
        <f t="shared" si="13"/>
        <v>1.1443189240000002</v>
      </c>
    </row>
    <row r="51" spans="2:26" x14ac:dyDescent="0.3">
      <c r="B51" s="9" t="s">
        <v>37</v>
      </c>
      <c r="C51" s="54">
        <v>1.0712999999999999</v>
      </c>
      <c r="D51" s="55">
        <v>1.0734999999999999</v>
      </c>
      <c r="E51" s="54">
        <v>1.0745</v>
      </c>
      <c r="F51" s="54">
        <v>1.069</v>
      </c>
      <c r="G51" s="82">
        <f t="shared" ref="G51:I52" si="17">AVERAGE(D52:D56)</f>
        <v>1.0721800000000001</v>
      </c>
      <c r="H51" s="58">
        <f t="shared" si="17"/>
        <v>1.0746599999999999</v>
      </c>
      <c r="I51" s="59">
        <f t="shared" si="17"/>
        <v>1.06976</v>
      </c>
      <c r="J51" s="58">
        <f t="shared" si="1"/>
        <v>1.07206</v>
      </c>
      <c r="K51" s="59">
        <f t="shared" si="2"/>
        <v>1.0712999999999999</v>
      </c>
      <c r="L51" s="61">
        <f t="shared" si="3"/>
        <v>1.1495699524000003</v>
      </c>
      <c r="M51" s="60">
        <f t="shared" si="3"/>
        <v>1.1548941155999999</v>
      </c>
      <c r="N51" s="61">
        <f t="shared" si="3"/>
        <v>1.1443864576</v>
      </c>
      <c r="O51" s="60">
        <f t="shared" si="3"/>
        <v>1.1493126436000001</v>
      </c>
      <c r="P51" s="61">
        <f t="shared" si="3"/>
        <v>1.1476836899999998</v>
      </c>
      <c r="Q51" s="60">
        <f t="shared" si="4"/>
        <v>1.1522289588000001</v>
      </c>
      <c r="R51" s="61">
        <f t="shared" si="5"/>
        <v>1.1469752768000001</v>
      </c>
      <c r="S51" s="60">
        <f t="shared" si="6"/>
        <v>1.1494412908000002</v>
      </c>
      <c r="T51" s="61">
        <f t="shared" si="7"/>
        <v>1.1496282816000001</v>
      </c>
      <c r="U51" s="60">
        <f t="shared" si="8"/>
        <v>1.1520999995999999</v>
      </c>
      <c r="V51" s="61">
        <f t="shared" si="9"/>
        <v>1.1468469056000001</v>
      </c>
      <c r="W51" s="60">
        <f t="shared" si="10"/>
        <v>1.1486264340000001</v>
      </c>
      <c r="X51" s="61">
        <f t="shared" si="11"/>
        <v>1.1512832579999999</v>
      </c>
      <c r="Y51" s="60">
        <f t="shared" si="12"/>
        <v>1.1460338880000001</v>
      </c>
      <c r="Z51" s="61">
        <f>J51*K51</f>
        <v>1.1484978779999999</v>
      </c>
    </row>
    <row r="52" spans="2:26" x14ac:dyDescent="0.3">
      <c r="B52" s="9" t="s">
        <v>38</v>
      </c>
      <c r="C52" s="54">
        <v>1.0731999999999999</v>
      </c>
      <c r="D52" s="55">
        <v>1.0688</v>
      </c>
      <c r="E52" s="54">
        <v>1.0747</v>
      </c>
      <c r="F52" s="54">
        <v>1.0683</v>
      </c>
      <c r="G52" s="82">
        <f>AVERAGE(D53:D57)</f>
        <v>1.07246</v>
      </c>
      <c r="H52" s="58">
        <f t="shared" si="17"/>
        <v>1.0745</v>
      </c>
      <c r="I52" s="59">
        <f t="shared" si="17"/>
        <v>1.06982</v>
      </c>
      <c r="J52" s="58">
        <f t="shared" si="1"/>
        <v>1.0721000000000001</v>
      </c>
      <c r="K52" s="59">
        <f t="shared" si="2"/>
        <v>1.0731999999999999</v>
      </c>
      <c r="L52" s="61">
        <f t="shared" si="3"/>
        <v>1.1501704516</v>
      </c>
      <c r="M52" s="60">
        <f t="shared" si="3"/>
        <v>1.15455025</v>
      </c>
      <c r="N52" s="61">
        <f t="shared" si="3"/>
        <v>1.1445148324000001</v>
      </c>
      <c r="O52" s="60">
        <f t="shared" si="3"/>
        <v>1.1493984100000001</v>
      </c>
      <c r="P52" s="61">
        <f t="shared" si="3"/>
        <v>1.1517582399999999</v>
      </c>
      <c r="Q52" s="60">
        <f t="shared" si="4"/>
        <v>1.1523582699999999</v>
      </c>
      <c r="R52" s="61">
        <f t="shared" si="5"/>
        <v>1.1473391572</v>
      </c>
      <c r="S52" s="60">
        <f t="shared" si="6"/>
        <v>1.149784366</v>
      </c>
      <c r="T52" s="61">
        <f t="shared" si="7"/>
        <v>1.14952159</v>
      </c>
      <c r="U52" s="60">
        <f t="shared" si="8"/>
        <v>1.15197145</v>
      </c>
      <c r="V52" s="61">
        <f t="shared" si="9"/>
        <v>1.1469540220000001</v>
      </c>
      <c r="W52" s="60">
        <f t="shared" si="10"/>
        <v>1.1509640719999998</v>
      </c>
      <c r="X52" s="61">
        <f t="shared" si="11"/>
        <v>1.1531533999999999</v>
      </c>
      <c r="Y52" s="60">
        <f t="shared" si="12"/>
        <v>1.1481308239999999</v>
      </c>
      <c r="Z52" s="61">
        <f>J52*K52</f>
        <v>1.15057772</v>
      </c>
    </row>
    <row r="53" spans="2:26" x14ac:dyDescent="0.3">
      <c r="B53" s="9" t="s">
        <v>39</v>
      </c>
      <c r="C53" s="54">
        <v>1.0690999999999999</v>
      </c>
      <c r="D53" s="55">
        <v>1.0702</v>
      </c>
      <c r="E53" s="54">
        <v>1.0721000000000001</v>
      </c>
      <c r="F53" s="54">
        <v>1.0669999999999999</v>
      </c>
      <c r="G53" s="82">
        <f t="shared" ref="G53:G104" si="18">AVERAGE(D54:D58)</f>
        <v>1.0731600000000001</v>
      </c>
      <c r="H53" s="58">
        <f t="shared" ref="H53:H105" si="19">AVERAGE(E54:E58)</f>
        <v>1.075</v>
      </c>
      <c r="I53" s="59">
        <f t="shared" ref="I53:I105" si="20">AVERAGE(F54:F58)</f>
        <v>1.06978</v>
      </c>
      <c r="J53" s="58">
        <f t="shared" ref="J53:J105" si="21">AVERAGE(C54:C58)</f>
        <v>1.0722799999999999</v>
      </c>
      <c r="K53" s="59">
        <f t="shared" ref="K53:K105" si="22">C53</f>
        <v>1.0690999999999999</v>
      </c>
      <c r="L53" s="61">
        <f t="shared" ref="L53:L105" si="23">G53^2</f>
        <v>1.1516723856000002</v>
      </c>
      <c r="M53" s="60">
        <f t="shared" ref="M53:M105" si="24">H53^2</f>
        <v>1.1556249999999999</v>
      </c>
      <c r="N53" s="61">
        <f t="shared" ref="N53:N105" si="25">I53^2</f>
        <v>1.1444292483999998</v>
      </c>
      <c r="O53" s="60">
        <f t="shared" ref="O53:O105" si="26">J53^2</f>
        <v>1.1497843983999998</v>
      </c>
      <c r="P53" s="61">
        <f t="shared" ref="P53:P105" si="27">K53^2</f>
        <v>1.1429748099999999</v>
      </c>
      <c r="Q53" s="60">
        <f t="shared" ref="Q53:Q105" si="28">G53*H53</f>
        <v>1.1536470000000001</v>
      </c>
      <c r="R53" s="61">
        <f t="shared" ref="R53:R105" si="29">G53*I53</f>
        <v>1.1480451048</v>
      </c>
      <c r="S53" s="60">
        <f t="shared" ref="S53:S105" si="30">G53*J53</f>
        <v>1.1507280047999999</v>
      </c>
      <c r="T53" s="61">
        <f t="shared" ref="T53:T105" si="31">H53*I53</f>
        <v>1.1500134999999998</v>
      </c>
      <c r="U53" s="60">
        <f t="shared" ref="U53:U105" si="32">H53*J53</f>
        <v>1.1527009999999998</v>
      </c>
      <c r="V53" s="61">
        <f t="shared" ref="V53:V105" si="33">I53*J53</f>
        <v>1.1471036983999998</v>
      </c>
      <c r="W53" s="60">
        <f t="shared" ref="W53:W105" si="34">G53*K53</f>
        <v>1.147315356</v>
      </c>
      <c r="X53" s="61">
        <f t="shared" ref="X53:X105" si="35">H53*K53</f>
        <v>1.1492825</v>
      </c>
      <c r="Y53" s="60">
        <f t="shared" ref="Y53:Y105" si="36">I53*K53</f>
        <v>1.1437017979999999</v>
      </c>
      <c r="Z53" s="61">
        <f t="shared" ref="Z53:Z104" si="37">J53*K53</f>
        <v>1.1463745479999998</v>
      </c>
    </row>
    <row r="54" spans="2:26" x14ac:dyDescent="0.3">
      <c r="B54" s="9" t="s">
        <v>40</v>
      </c>
      <c r="C54" s="54">
        <v>1.07</v>
      </c>
      <c r="D54" s="55">
        <v>1.0745</v>
      </c>
      <c r="E54" s="54">
        <v>1.0749</v>
      </c>
      <c r="F54" s="54">
        <v>1.0702</v>
      </c>
      <c r="G54" s="82">
        <f t="shared" si="18"/>
        <v>1.0744399999999998</v>
      </c>
      <c r="H54" s="58">
        <f t="shared" si="19"/>
        <v>1.07636</v>
      </c>
      <c r="I54" s="59">
        <f t="shared" si="20"/>
        <v>1.0703999999999998</v>
      </c>
      <c r="J54" s="58">
        <f t="shared" si="21"/>
        <v>1.07298</v>
      </c>
      <c r="K54" s="59">
        <f t="shared" si="22"/>
        <v>1.07</v>
      </c>
      <c r="L54" s="61">
        <f t="shared" si="23"/>
        <v>1.1544213135999997</v>
      </c>
      <c r="M54" s="60">
        <f t="shared" si="24"/>
        <v>1.1585508495999999</v>
      </c>
      <c r="N54" s="61">
        <f t="shared" si="25"/>
        <v>1.1457561599999995</v>
      </c>
      <c r="O54" s="60">
        <f t="shared" si="26"/>
        <v>1.1512860804</v>
      </c>
      <c r="P54" s="61">
        <f t="shared" si="27"/>
        <v>1.1449</v>
      </c>
      <c r="Q54" s="60">
        <f t="shared" si="28"/>
        <v>1.1564842383999998</v>
      </c>
      <c r="R54" s="61">
        <f t="shared" si="29"/>
        <v>1.1500805759999997</v>
      </c>
      <c r="S54" s="60">
        <f t="shared" si="30"/>
        <v>1.1528526311999998</v>
      </c>
      <c r="T54" s="61">
        <f t="shared" si="31"/>
        <v>1.1521357439999997</v>
      </c>
      <c r="U54" s="60">
        <f t="shared" si="32"/>
        <v>1.1549127528000001</v>
      </c>
      <c r="V54" s="61">
        <f t="shared" si="33"/>
        <v>1.1485177919999998</v>
      </c>
      <c r="W54" s="60">
        <f t="shared" si="34"/>
        <v>1.1496507999999999</v>
      </c>
      <c r="X54" s="61">
        <f t="shared" si="35"/>
        <v>1.1517052000000001</v>
      </c>
      <c r="Y54" s="60">
        <f t="shared" si="36"/>
        <v>1.1453279999999999</v>
      </c>
      <c r="Z54" s="61">
        <f t="shared" si="37"/>
        <v>1.1480886000000001</v>
      </c>
    </row>
    <row r="55" spans="2:26" x14ac:dyDescent="0.3">
      <c r="B55" s="9" t="s">
        <v>41</v>
      </c>
      <c r="C55" s="54">
        <v>1.0742</v>
      </c>
      <c r="D55" s="55">
        <v>1.0740000000000001</v>
      </c>
      <c r="E55" s="54">
        <v>1.0753999999999999</v>
      </c>
      <c r="F55" s="54">
        <v>1.0724</v>
      </c>
      <c r="G55" s="82">
        <f t="shared" si="18"/>
        <v>1.0744800000000001</v>
      </c>
      <c r="H55" s="58">
        <f t="shared" si="19"/>
        <v>1.0783400000000001</v>
      </c>
      <c r="I55" s="59">
        <f t="shared" si="20"/>
        <v>1.0706</v>
      </c>
      <c r="J55" s="58">
        <f t="shared" si="21"/>
        <v>1.0742800000000001</v>
      </c>
      <c r="K55" s="59">
        <f t="shared" si="22"/>
        <v>1.0742</v>
      </c>
      <c r="L55" s="61">
        <f t="shared" si="23"/>
        <v>1.1545072704000001</v>
      </c>
      <c r="M55" s="60">
        <f t="shared" si="24"/>
        <v>1.1628171556000002</v>
      </c>
      <c r="N55" s="61">
        <f t="shared" si="25"/>
        <v>1.1461843599999999</v>
      </c>
      <c r="O55" s="60">
        <f t="shared" si="26"/>
        <v>1.1540775184000003</v>
      </c>
      <c r="P55" s="61">
        <f t="shared" si="27"/>
        <v>1.1539056400000001</v>
      </c>
      <c r="Q55" s="60">
        <f t="shared" si="28"/>
        <v>1.1586547632000002</v>
      </c>
      <c r="R55" s="61">
        <f t="shared" si="29"/>
        <v>1.1503382880000002</v>
      </c>
      <c r="S55" s="60">
        <f t="shared" si="30"/>
        <v>1.1542923744000002</v>
      </c>
      <c r="T55" s="61">
        <f t="shared" si="31"/>
        <v>1.154470804</v>
      </c>
      <c r="U55" s="60">
        <f t="shared" si="32"/>
        <v>1.1584390952000003</v>
      </c>
      <c r="V55" s="61">
        <f t="shared" si="33"/>
        <v>1.1501241680000001</v>
      </c>
      <c r="W55" s="60">
        <f t="shared" si="34"/>
        <v>1.1542064160000001</v>
      </c>
      <c r="X55" s="61">
        <f t="shared" si="35"/>
        <v>1.1583528280000002</v>
      </c>
      <c r="Y55" s="60">
        <f t="shared" si="36"/>
        <v>1.1500385200000001</v>
      </c>
      <c r="Z55" s="61">
        <f t="shared" si="37"/>
        <v>1.1539915760000001</v>
      </c>
    </row>
    <row r="56" spans="2:26" x14ac:dyDescent="0.3">
      <c r="B56" s="9" t="s">
        <v>42</v>
      </c>
      <c r="C56" s="54">
        <v>1.0738000000000001</v>
      </c>
      <c r="D56" s="55">
        <v>1.0733999999999999</v>
      </c>
      <c r="E56" s="54">
        <v>1.0762</v>
      </c>
      <c r="F56" s="54">
        <v>1.0709</v>
      </c>
      <c r="G56" s="82">
        <f t="shared" si="18"/>
        <v>1.0751000000000002</v>
      </c>
      <c r="H56" s="58">
        <f t="shared" si="19"/>
        <v>1.0786</v>
      </c>
      <c r="I56" s="59">
        <f t="shared" si="20"/>
        <v>1.0708</v>
      </c>
      <c r="J56" s="58">
        <f t="shared" si="21"/>
        <v>1.0743</v>
      </c>
      <c r="K56" s="59">
        <f t="shared" si="22"/>
        <v>1.0738000000000001</v>
      </c>
      <c r="L56" s="61">
        <f t="shared" si="23"/>
        <v>1.1558400100000004</v>
      </c>
      <c r="M56" s="60">
        <f t="shared" si="24"/>
        <v>1.16337796</v>
      </c>
      <c r="N56" s="61">
        <f t="shared" si="25"/>
        <v>1.1466126399999998</v>
      </c>
      <c r="O56" s="60">
        <f t="shared" si="26"/>
        <v>1.1541204900000002</v>
      </c>
      <c r="P56" s="61">
        <f t="shared" si="27"/>
        <v>1.1530464400000002</v>
      </c>
      <c r="Q56" s="60">
        <f t="shared" si="28"/>
        <v>1.1596028600000001</v>
      </c>
      <c r="R56" s="61">
        <f t="shared" si="29"/>
        <v>1.1512170800000001</v>
      </c>
      <c r="S56" s="60">
        <f t="shared" si="30"/>
        <v>1.1549799300000003</v>
      </c>
      <c r="T56" s="61">
        <f t="shared" si="31"/>
        <v>1.1549648800000001</v>
      </c>
      <c r="U56" s="60">
        <f t="shared" si="32"/>
        <v>1.15873998</v>
      </c>
      <c r="V56" s="61">
        <f t="shared" si="33"/>
        <v>1.15036044</v>
      </c>
      <c r="W56" s="60">
        <f t="shared" si="34"/>
        <v>1.1544423800000003</v>
      </c>
      <c r="X56" s="61">
        <f t="shared" si="35"/>
        <v>1.1582006800000002</v>
      </c>
      <c r="Y56" s="60">
        <f t="shared" si="36"/>
        <v>1.1498250400000001</v>
      </c>
      <c r="Z56" s="61">
        <f t="shared" si="37"/>
        <v>1.1535833400000002</v>
      </c>
    </row>
    <row r="57" spans="2:26" x14ac:dyDescent="0.3">
      <c r="B57" s="9" t="s">
        <v>43</v>
      </c>
      <c r="C57" s="54">
        <v>1.0733999999999999</v>
      </c>
      <c r="D57" s="55">
        <v>1.0702</v>
      </c>
      <c r="E57" s="54">
        <v>1.0739000000000001</v>
      </c>
      <c r="F57" s="54">
        <v>1.0686</v>
      </c>
      <c r="G57" s="82">
        <f t="shared" si="18"/>
        <v>1.0770000000000002</v>
      </c>
      <c r="H57" s="58">
        <f t="shared" si="19"/>
        <v>1.0797599999999998</v>
      </c>
      <c r="I57" s="59">
        <f t="shared" si="20"/>
        <v>1.07172</v>
      </c>
      <c r="J57" s="58">
        <f t="shared" si="21"/>
        <v>1.0748799999999998</v>
      </c>
      <c r="K57" s="59">
        <f t="shared" si="22"/>
        <v>1.0733999999999999</v>
      </c>
      <c r="L57" s="61">
        <f t="shared" si="23"/>
        <v>1.1599290000000004</v>
      </c>
      <c r="M57" s="60">
        <f t="shared" si="24"/>
        <v>1.1658816575999997</v>
      </c>
      <c r="N57" s="61">
        <f t="shared" si="25"/>
        <v>1.1485837584</v>
      </c>
      <c r="O57" s="60">
        <f t="shared" si="26"/>
        <v>1.1553670143999997</v>
      </c>
      <c r="P57" s="61">
        <f t="shared" si="27"/>
        <v>1.1521875599999998</v>
      </c>
      <c r="Q57" s="60">
        <f t="shared" si="28"/>
        <v>1.1629015199999999</v>
      </c>
      <c r="R57" s="61">
        <f t="shared" si="29"/>
        <v>1.1542424400000002</v>
      </c>
      <c r="S57" s="60">
        <f t="shared" si="30"/>
        <v>1.1576457600000001</v>
      </c>
      <c r="T57" s="61">
        <f t="shared" si="31"/>
        <v>1.1572003871999998</v>
      </c>
      <c r="U57" s="60">
        <f t="shared" si="32"/>
        <v>1.1606124287999997</v>
      </c>
      <c r="V57" s="61">
        <f t="shared" si="33"/>
        <v>1.1519703935999999</v>
      </c>
      <c r="W57" s="60">
        <f t="shared" si="34"/>
        <v>1.1560518000000002</v>
      </c>
      <c r="X57" s="61">
        <f t="shared" si="35"/>
        <v>1.1590143839999998</v>
      </c>
      <c r="Y57" s="60">
        <f t="shared" si="36"/>
        <v>1.1503842479999999</v>
      </c>
      <c r="Z57" s="61">
        <f t="shared" si="37"/>
        <v>1.1537761919999998</v>
      </c>
    </row>
    <row r="58" spans="2:26" s="1" customFormat="1" x14ac:dyDescent="0.3">
      <c r="B58" s="9" t="s">
        <v>44</v>
      </c>
      <c r="C58" s="54">
        <v>1.07</v>
      </c>
      <c r="D58" s="55">
        <v>1.0737000000000001</v>
      </c>
      <c r="E58" s="54">
        <v>1.0746</v>
      </c>
      <c r="F58" s="54">
        <v>1.0668</v>
      </c>
      <c r="G58" s="82">
        <f t="shared" si="18"/>
        <v>1.08006</v>
      </c>
      <c r="H58" s="58">
        <f t="shared" si="19"/>
        <v>1.0829</v>
      </c>
      <c r="I58" s="59">
        <f t="shared" si="20"/>
        <v>1.0743400000000001</v>
      </c>
      <c r="J58" s="58">
        <f t="shared" si="21"/>
        <v>1.0768800000000001</v>
      </c>
      <c r="K58" s="59">
        <f t="shared" si="22"/>
        <v>1.07</v>
      </c>
      <c r="L58" s="61">
        <f t="shared" si="23"/>
        <v>1.1665296036000001</v>
      </c>
      <c r="M58" s="60">
        <f t="shared" si="24"/>
        <v>1.1726724099999999</v>
      </c>
      <c r="N58" s="61">
        <f t="shared" si="25"/>
        <v>1.1542064356000001</v>
      </c>
      <c r="O58" s="60">
        <f t="shared" si="26"/>
        <v>1.1596705344000002</v>
      </c>
      <c r="P58" s="61">
        <f t="shared" si="27"/>
        <v>1.1449</v>
      </c>
      <c r="Q58" s="60">
        <f t="shared" si="28"/>
        <v>1.1695969740000001</v>
      </c>
      <c r="R58" s="61">
        <f t="shared" si="29"/>
        <v>1.1603516604000002</v>
      </c>
      <c r="S58" s="60">
        <f t="shared" si="30"/>
        <v>1.1630950128000002</v>
      </c>
      <c r="T58" s="61">
        <f t="shared" si="31"/>
        <v>1.163402786</v>
      </c>
      <c r="U58" s="60">
        <f t="shared" si="32"/>
        <v>1.166153352</v>
      </c>
      <c r="V58" s="61">
        <f t="shared" si="33"/>
        <v>1.1569352592000002</v>
      </c>
      <c r="W58" s="60">
        <f t="shared" si="34"/>
        <v>1.1556642000000001</v>
      </c>
      <c r="X58" s="61">
        <f t="shared" si="35"/>
        <v>1.158703</v>
      </c>
      <c r="Y58" s="60">
        <f t="shared" si="36"/>
        <v>1.1495438000000002</v>
      </c>
      <c r="Z58" s="61">
        <f t="shared" si="37"/>
        <v>1.1522616000000001</v>
      </c>
    </row>
    <row r="59" spans="2:26" s="1" customFormat="1" x14ac:dyDescent="0.3">
      <c r="B59" s="9" t="s">
        <v>90</v>
      </c>
      <c r="C59" s="54">
        <v>1.0734999999999999</v>
      </c>
      <c r="D59" s="55">
        <v>1.0809</v>
      </c>
      <c r="E59" s="54">
        <v>1.0817000000000001</v>
      </c>
      <c r="F59" s="54">
        <v>1.0732999999999999</v>
      </c>
      <c r="G59" s="82">
        <f t="shared" si="18"/>
        <v>1.0812599999999999</v>
      </c>
      <c r="H59" s="58">
        <f t="shared" si="19"/>
        <v>1.0846199999999999</v>
      </c>
      <c r="I59" s="59">
        <f t="shared" si="20"/>
        <v>1.0769199999999999</v>
      </c>
      <c r="J59" s="58">
        <f t="shared" si="21"/>
        <v>1.0799400000000001</v>
      </c>
      <c r="K59" s="59">
        <f t="shared" si="22"/>
        <v>1.0734999999999999</v>
      </c>
      <c r="L59" s="61">
        <f t="shared" si="23"/>
        <v>1.1691231875999997</v>
      </c>
      <c r="M59" s="60">
        <f t="shared" si="24"/>
        <v>1.1764005443999999</v>
      </c>
      <c r="N59" s="61">
        <f t="shared" si="25"/>
        <v>1.1597566863999997</v>
      </c>
      <c r="O59" s="60">
        <f t="shared" si="26"/>
        <v>1.1662704036000002</v>
      </c>
      <c r="P59" s="61">
        <f t="shared" si="27"/>
        <v>1.1524022499999997</v>
      </c>
      <c r="Q59" s="60">
        <f t="shared" si="28"/>
        <v>1.1727562211999998</v>
      </c>
      <c r="R59" s="61">
        <f t="shared" si="29"/>
        <v>1.1644305191999997</v>
      </c>
      <c r="S59" s="60">
        <f t="shared" si="30"/>
        <v>1.1676959244</v>
      </c>
      <c r="T59" s="61">
        <f t="shared" si="31"/>
        <v>1.1680489703999999</v>
      </c>
      <c r="U59" s="60">
        <f t="shared" si="32"/>
        <v>1.1713245228</v>
      </c>
      <c r="V59" s="61">
        <f t="shared" si="33"/>
        <v>1.1630089848</v>
      </c>
      <c r="W59" s="60">
        <f t="shared" si="34"/>
        <v>1.1607326099999997</v>
      </c>
      <c r="X59" s="61">
        <f t="shared" si="35"/>
        <v>1.1643395699999999</v>
      </c>
      <c r="Y59" s="60">
        <f t="shared" si="36"/>
        <v>1.1560736199999997</v>
      </c>
      <c r="Z59" s="61">
        <f t="shared" si="37"/>
        <v>1.1593155900000001</v>
      </c>
    </row>
    <row r="60" spans="2:26" s="1" customFormat="1" x14ac:dyDescent="0.3">
      <c r="B60" s="40">
        <v>45632</v>
      </c>
      <c r="C60" s="54">
        <v>1.0807</v>
      </c>
      <c r="D60" s="55">
        <v>1.0742</v>
      </c>
      <c r="E60" s="54">
        <v>1.0852999999999999</v>
      </c>
      <c r="F60" s="54">
        <v>1.0733999999999999</v>
      </c>
      <c r="G60" s="82">
        <f t="shared" si="18"/>
        <v>1.0840000000000001</v>
      </c>
      <c r="H60" s="58">
        <f t="shared" si="19"/>
        <v>1.0853999999999999</v>
      </c>
      <c r="I60" s="59">
        <f t="shared" si="20"/>
        <v>1.0793200000000001</v>
      </c>
      <c r="J60" s="58">
        <f t="shared" si="21"/>
        <v>1.0811600000000001</v>
      </c>
      <c r="K60" s="59">
        <f t="shared" si="22"/>
        <v>1.0807</v>
      </c>
      <c r="L60" s="61">
        <f t="shared" si="23"/>
        <v>1.1750560000000001</v>
      </c>
      <c r="M60" s="60">
        <f t="shared" si="24"/>
        <v>1.1780931599999998</v>
      </c>
      <c r="N60" s="61">
        <f t="shared" si="25"/>
        <v>1.1649316624000001</v>
      </c>
      <c r="O60" s="60">
        <f t="shared" si="26"/>
        <v>1.1689069456000003</v>
      </c>
      <c r="P60" s="61">
        <f t="shared" si="27"/>
        <v>1.16791249</v>
      </c>
      <c r="Q60" s="60">
        <f t="shared" si="28"/>
        <v>1.1765736</v>
      </c>
      <c r="R60" s="61">
        <f t="shared" si="29"/>
        <v>1.1699828800000001</v>
      </c>
      <c r="S60" s="60">
        <f t="shared" si="30"/>
        <v>1.1719774400000003</v>
      </c>
      <c r="T60" s="61">
        <f t="shared" si="31"/>
        <v>1.1714939280000001</v>
      </c>
      <c r="U60" s="60">
        <f t="shared" si="32"/>
        <v>1.173491064</v>
      </c>
      <c r="V60" s="61">
        <f t="shared" si="33"/>
        <v>1.1669176112000001</v>
      </c>
      <c r="W60" s="60">
        <f t="shared" si="34"/>
        <v>1.1714788</v>
      </c>
      <c r="X60" s="61">
        <f t="shared" si="35"/>
        <v>1.1729917799999998</v>
      </c>
      <c r="Y60" s="60">
        <f t="shared" si="36"/>
        <v>1.166421124</v>
      </c>
      <c r="Z60" s="61">
        <f t="shared" si="37"/>
        <v>1.168409612</v>
      </c>
    </row>
    <row r="61" spans="2:26" s="1" customFormat="1" x14ac:dyDescent="0.3">
      <c r="B61" s="40">
        <v>45602</v>
      </c>
      <c r="C61" s="54">
        <v>1.0739000000000001</v>
      </c>
      <c r="D61" s="55">
        <v>1.0765</v>
      </c>
      <c r="E61" s="54">
        <v>1.0774999999999999</v>
      </c>
      <c r="F61" s="54">
        <v>1.0719000000000001</v>
      </c>
      <c r="G61" s="82">
        <f t="shared" si="18"/>
        <v>1.0867800000000001</v>
      </c>
      <c r="H61" s="58">
        <f t="shared" si="19"/>
        <v>1.0882400000000001</v>
      </c>
      <c r="I61" s="59">
        <f t="shared" si="20"/>
        <v>1.0821200000000002</v>
      </c>
      <c r="J61" s="58">
        <f t="shared" si="21"/>
        <v>1.0839400000000001</v>
      </c>
      <c r="K61" s="59">
        <f t="shared" si="22"/>
        <v>1.0739000000000001</v>
      </c>
      <c r="L61" s="61">
        <f t="shared" si="23"/>
        <v>1.1810907684000003</v>
      </c>
      <c r="M61" s="60">
        <f t="shared" si="24"/>
        <v>1.1842662976000002</v>
      </c>
      <c r="N61" s="61">
        <f t="shared" si="25"/>
        <v>1.1709836944000005</v>
      </c>
      <c r="O61" s="60">
        <f t="shared" si="26"/>
        <v>1.1749259236000003</v>
      </c>
      <c r="P61" s="61">
        <f t="shared" si="27"/>
        <v>1.1532612100000001</v>
      </c>
      <c r="Q61" s="60">
        <f t="shared" si="28"/>
        <v>1.1826774672000002</v>
      </c>
      <c r="R61" s="61">
        <f t="shared" si="29"/>
        <v>1.1760263736000003</v>
      </c>
      <c r="S61" s="60">
        <f t="shared" si="30"/>
        <v>1.1780043132000002</v>
      </c>
      <c r="T61" s="61">
        <f t="shared" si="31"/>
        <v>1.1776062688000004</v>
      </c>
      <c r="U61" s="60">
        <f t="shared" si="32"/>
        <v>1.1795868656000001</v>
      </c>
      <c r="V61" s="61">
        <f t="shared" si="33"/>
        <v>1.1729531528000003</v>
      </c>
      <c r="W61" s="60">
        <f t="shared" si="34"/>
        <v>1.1670930420000001</v>
      </c>
      <c r="X61" s="61">
        <f t="shared" si="35"/>
        <v>1.1686609360000002</v>
      </c>
      <c r="Y61" s="60">
        <f t="shared" si="36"/>
        <v>1.1620886680000002</v>
      </c>
      <c r="Z61" s="61">
        <f t="shared" si="37"/>
        <v>1.1640431660000001</v>
      </c>
    </row>
    <row r="62" spans="2:26" s="1" customFormat="1" x14ac:dyDescent="0.3">
      <c r="B62" s="40">
        <v>45571</v>
      </c>
      <c r="C62" s="54">
        <v>1.0763</v>
      </c>
      <c r="D62" s="55">
        <v>1.0797000000000001</v>
      </c>
      <c r="E62" s="54">
        <v>1.0797000000000001</v>
      </c>
      <c r="F62" s="54">
        <v>1.0731999999999999</v>
      </c>
      <c r="G62" s="82">
        <f t="shared" si="18"/>
        <v>1.0878599999999998</v>
      </c>
      <c r="H62" s="58">
        <f t="shared" si="19"/>
        <v>1.0904</v>
      </c>
      <c r="I62" s="59">
        <f t="shared" si="20"/>
        <v>1.0840000000000001</v>
      </c>
      <c r="J62" s="58">
        <f t="shared" si="21"/>
        <v>1.0867200000000001</v>
      </c>
      <c r="K62" s="59">
        <f t="shared" si="22"/>
        <v>1.0763</v>
      </c>
      <c r="L62" s="61">
        <f t="shared" si="23"/>
        <v>1.1834393795999996</v>
      </c>
      <c r="M62" s="60">
        <f t="shared" si="24"/>
        <v>1.1889721600000001</v>
      </c>
      <c r="N62" s="61">
        <f t="shared" si="25"/>
        <v>1.1750560000000001</v>
      </c>
      <c r="O62" s="60">
        <f t="shared" si="26"/>
        <v>1.1809603584000004</v>
      </c>
      <c r="P62" s="61">
        <f t="shared" si="27"/>
        <v>1.1584216900000002</v>
      </c>
      <c r="Q62" s="60">
        <f t="shared" si="28"/>
        <v>1.1862025439999999</v>
      </c>
      <c r="R62" s="61">
        <f t="shared" si="29"/>
        <v>1.1792402399999999</v>
      </c>
      <c r="S62" s="60">
        <f t="shared" si="30"/>
        <v>1.1821992191999999</v>
      </c>
      <c r="T62" s="61">
        <f t="shared" si="31"/>
        <v>1.1819936000000002</v>
      </c>
      <c r="U62" s="60">
        <f t="shared" si="32"/>
        <v>1.1849594880000003</v>
      </c>
      <c r="V62" s="61">
        <f t="shared" si="33"/>
        <v>1.1780044800000002</v>
      </c>
      <c r="W62" s="60">
        <f t="shared" si="34"/>
        <v>1.1708637179999999</v>
      </c>
      <c r="X62" s="61">
        <f t="shared" si="35"/>
        <v>1.1735975200000002</v>
      </c>
      <c r="Y62" s="60">
        <f t="shared" si="36"/>
        <v>1.1667092000000001</v>
      </c>
      <c r="Z62" s="61">
        <f t="shared" si="37"/>
        <v>1.1696367360000002</v>
      </c>
    </row>
    <row r="63" spans="2:26" s="1" customFormat="1" x14ac:dyDescent="0.3">
      <c r="B63" s="40">
        <v>45479</v>
      </c>
      <c r="C63" s="54">
        <v>1.08</v>
      </c>
      <c r="D63" s="55">
        <v>1.089</v>
      </c>
      <c r="E63" s="54">
        <v>1.0903</v>
      </c>
      <c r="F63" s="54">
        <v>1.0799000000000001</v>
      </c>
      <c r="G63" s="82">
        <f t="shared" si="18"/>
        <v>1.0867</v>
      </c>
      <c r="H63" s="58">
        <f t="shared" si="19"/>
        <v>1.0900000000000001</v>
      </c>
      <c r="I63" s="59">
        <f t="shared" si="20"/>
        <v>1.0842399999999999</v>
      </c>
      <c r="J63" s="58">
        <f t="shared" si="21"/>
        <v>1.0875400000000002</v>
      </c>
      <c r="K63" s="59">
        <f t="shared" si="22"/>
        <v>1.08</v>
      </c>
      <c r="L63" s="61">
        <f t="shared" si="23"/>
        <v>1.18091689</v>
      </c>
      <c r="M63" s="60">
        <f t="shared" si="24"/>
        <v>1.1881000000000002</v>
      </c>
      <c r="N63" s="61">
        <f t="shared" si="25"/>
        <v>1.1755763775999997</v>
      </c>
      <c r="O63" s="60">
        <f t="shared" si="26"/>
        <v>1.1827432516000003</v>
      </c>
      <c r="P63" s="61">
        <f t="shared" si="27"/>
        <v>1.1664000000000001</v>
      </c>
      <c r="Q63" s="60">
        <f t="shared" si="28"/>
        <v>1.1845030000000001</v>
      </c>
      <c r="R63" s="61">
        <f t="shared" si="29"/>
        <v>1.1782436079999998</v>
      </c>
      <c r="S63" s="60">
        <f t="shared" si="30"/>
        <v>1.1818297180000001</v>
      </c>
      <c r="T63" s="61">
        <f t="shared" si="31"/>
        <v>1.1818215999999999</v>
      </c>
      <c r="U63" s="60">
        <f t="shared" si="32"/>
        <v>1.1854186000000002</v>
      </c>
      <c r="V63" s="61">
        <f t="shared" si="33"/>
        <v>1.1791543696</v>
      </c>
      <c r="W63" s="60">
        <f t="shared" si="34"/>
        <v>1.1736360000000001</v>
      </c>
      <c r="X63" s="61">
        <f t="shared" si="35"/>
        <v>1.1772000000000002</v>
      </c>
      <c r="Y63" s="60">
        <f t="shared" si="36"/>
        <v>1.1709791999999999</v>
      </c>
      <c r="Z63" s="61">
        <f t="shared" si="37"/>
        <v>1.1745432000000002</v>
      </c>
    </row>
    <row r="64" spans="2:26" s="1" customFormat="1" x14ac:dyDescent="0.3">
      <c r="B64" s="40">
        <v>45449</v>
      </c>
      <c r="C64" s="54">
        <v>1.0888</v>
      </c>
      <c r="D64" s="55">
        <v>1.0869</v>
      </c>
      <c r="E64" s="54">
        <v>1.0903</v>
      </c>
      <c r="F64" s="54">
        <v>1.0862000000000001</v>
      </c>
      <c r="G64" s="82">
        <f t="shared" si="18"/>
        <v>1.0853600000000001</v>
      </c>
      <c r="H64" s="58">
        <f t="shared" si="19"/>
        <v>1.0888599999999999</v>
      </c>
      <c r="I64" s="59">
        <f t="shared" si="20"/>
        <v>1.0827599999999999</v>
      </c>
      <c r="J64" s="58">
        <f t="shared" si="21"/>
        <v>1.0864199999999999</v>
      </c>
      <c r="K64" s="59">
        <f t="shared" si="22"/>
        <v>1.0888</v>
      </c>
      <c r="L64" s="61">
        <f t="shared" si="23"/>
        <v>1.1780063296000003</v>
      </c>
      <c r="M64" s="60">
        <f t="shared" si="24"/>
        <v>1.1856160995999998</v>
      </c>
      <c r="N64" s="61">
        <f t="shared" si="25"/>
        <v>1.1723692175999998</v>
      </c>
      <c r="O64" s="60">
        <f t="shared" si="26"/>
        <v>1.1803084163999999</v>
      </c>
      <c r="P64" s="61">
        <f t="shared" si="27"/>
        <v>1.1854854399999999</v>
      </c>
      <c r="Q64" s="60">
        <f t="shared" si="28"/>
        <v>1.1818050896000001</v>
      </c>
      <c r="R64" s="61">
        <f t="shared" si="29"/>
        <v>1.1751843936000002</v>
      </c>
      <c r="S64" s="60">
        <f t="shared" si="30"/>
        <v>1.1791568112000002</v>
      </c>
      <c r="T64" s="61">
        <f t="shared" si="31"/>
        <v>1.1789740536</v>
      </c>
      <c r="U64" s="60">
        <f t="shared" si="32"/>
        <v>1.1829592811999998</v>
      </c>
      <c r="V64" s="61">
        <f t="shared" si="33"/>
        <v>1.1763321191999998</v>
      </c>
      <c r="W64" s="60">
        <f t="shared" si="34"/>
        <v>1.181739968</v>
      </c>
      <c r="X64" s="61">
        <f t="shared" si="35"/>
        <v>1.1855507679999999</v>
      </c>
      <c r="Y64" s="60">
        <f t="shared" si="36"/>
        <v>1.1789090879999999</v>
      </c>
      <c r="Z64" s="61">
        <f t="shared" si="37"/>
        <v>1.1828940959999998</v>
      </c>
    </row>
    <row r="65" spans="2:26" s="1" customFormat="1" x14ac:dyDescent="0.3">
      <c r="B65" s="40">
        <v>45418</v>
      </c>
      <c r="C65" s="54">
        <v>1.0868</v>
      </c>
      <c r="D65" s="55">
        <v>1.0879000000000001</v>
      </c>
      <c r="E65" s="54">
        <v>1.0891999999999999</v>
      </c>
      <c r="F65" s="54">
        <v>1.0853999999999999</v>
      </c>
      <c r="G65" s="82">
        <f t="shared" si="18"/>
        <v>1.0849200000000001</v>
      </c>
      <c r="H65" s="58">
        <f t="shared" si="19"/>
        <v>1.0882400000000001</v>
      </c>
      <c r="I65" s="59">
        <f t="shared" si="20"/>
        <v>1.0816600000000001</v>
      </c>
      <c r="J65" s="58">
        <f t="shared" si="21"/>
        <v>1.0850599999999999</v>
      </c>
      <c r="K65" s="59">
        <f t="shared" si="22"/>
        <v>1.0868</v>
      </c>
      <c r="L65" s="61">
        <f t="shared" si="23"/>
        <v>1.1770514064000002</v>
      </c>
      <c r="M65" s="60">
        <f t="shared" si="24"/>
        <v>1.1842662976000002</v>
      </c>
      <c r="N65" s="61">
        <f t="shared" si="25"/>
        <v>1.1699883556000001</v>
      </c>
      <c r="O65" s="60">
        <f t="shared" si="26"/>
        <v>1.1773552035999999</v>
      </c>
      <c r="P65" s="61">
        <f t="shared" si="27"/>
        <v>1.18113424</v>
      </c>
      <c r="Q65" s="60">
        <f t="shared" si="28"/>
        <v>1.1806533408000002</v>
      </c>
      <c r="R65" s="61">
        <f t="shared" si="29"/>
        <v>1.1735145672000002</v>
      </c>
      <c r="S65" s="60">
        <f t="shared" si="30"/>
        <v>1.1772032952</v>
      </c>
      <c r="T65" s="61">
        <f t="shared" si="31"/>
        <v>1.1771056784000002</v>
      </c>
      <c r="U65" s="60">
        <f t="shared" si="32"/>
        <v>1.1808056944</v>
      </c>
      <c r="V65" s="61">
        <f t="shared" si="33"/>
        <v>1.1736659996000001</v>
      </c>
      <c r="W65" s="60">
        <f t="shared" si="34"/>
        <v>1.1790910560000001</v>
      </c>
      <c r="X65" s="61">
        <f t="shared" si="35"/>
        <v>1.182699232</v>
      </c>
      <c r="Y65" s="60">
        <f t="shared" si="36"/>
        <v>1.175548088</v>
      </c>
      <c r="Z65" s="61">
        <f t="shared" si="37"/>
        <v>1.1792432079999999</v>
      </c>
    </row>
    <row r="66" spans="2:26" x14ac:dyDescent="0.3">
      <c r="B66" s="40">
        <v>45388</v>
      </c>
      <c r="C66" s="54">
        <v>1.0878000000000001</v>
      </c>
      <c r="D66" s="55">
        <v>1.0904</v>
      </c>
      <c r="E66" s="54">
        <v>1.0916999999999999</v>
      </c>
      <c r="F66" s="54">
        <v>1.0859000000000001</v>
      </c>
      <c r="G66" s="82">
        <f t="shared" si="18"/>
        <v>1.0840400000000001</v>
      </c>
      <c r="H66" s="58">
        <f t="shared" si="19"/>
        <v>1.0876999999999999</v>
      </c>
      <c r="I66" s="59">
        <f t="shared" si="20"/>
        <v>1.0815399999999999</v>
      </c>
      <c r="J66" s="58">
        <f t="shared" si="21"/>
        <v>1.0846</v>
      </c>
      <c r="K66" s="59">
        <f t="shared" si="22"/>
        <v>1.0878000000000001</v>
      </c>
      <c r="L66" s="61">
        <f t="shared" si="23"/>
        <v>1.1751427216000003</v>
      </c>
      <c r="M66" s="60">
        <f t="shared" si="24"/>
        <v>1.1830912899999997</v>
      </c>
      <c r="N66" s="61">
        <f t="shared" si="25"/>
        <v>1.1697287715999998</v>
      </c>
      <c r="O66" s="60">
        <f t="shared" si="26"/>
        <v>1.17635716</v>
      </c>
      <c r="P66" s="61">
        <f t="shared" si="27"/>
        <v>1.1833088400000003</v>
      </c>
      <c r="Q66" s="60">
        <f t="shared" si="28"/>
        <v>1.1791103080000001</v>
      </c>
      <c r="R66" s="61">
        <f t="shared" si="29"/>
        <v>1.1724326216000001</v>
      </c>
      <c r="S66" s="60">
        <f t="shared" si="30"/>
        <v>1.1757497840000002</v>
      </c>
      <c r="T66" s="61">
        <f t="shared" si="31"/>
        <v>1.1763910579999999</v>
      </c>
      <c r="U66" s="60">
        <f t="shared" si="32"/>
        <v>1.1797194199999999</v>
      </c>
      <c r="V66" s="61">
        <f t="shared" si="33"/>
        <v>1.173038284</v>
      </c>
      <c r="W66" s="60">
        <f t="shared" si="34"/>
        <v>1.1792187120000002</v>
      </c>
      <c r="X66" s="61">
        <f t="shared" si="35"/>
        <v>1.1832000599999999</v>
      </c>
      <c r="Y66" s="60">
        <f t="shared" si="36"/>
        <v>1.176499212</v>
      </c>
      <c r="Z66" s="61">
        <f t="shared" si="37"/>
        <v>1.1798278800000002</v>
      </c>
    </row>
    <row r="67" spans="2:26" x14ac:dyDescent="0.3">
      <c r="B67" s="40">
        <v>45357</v>
      </c>
      <c r="C67" s="54">
        <v>1.0902000000000001</v>
      </c>
      <c r="D67" s="55">
        <v>1.0851</v>
      </c>
      <c r="E67" s="54">
        <v>1.0905</v>
      </c>
      <c r="F67" s="54">
        <v>1.0826</v>
      </c>
      <c r="G67" s="82">
        <f t="shared" si="18"/>
        <v>1.0841000000000001</v>
      </c>
      <c r="H67" s="58">
        <f t="shared" si="19"/>
        <v>1.0869600000000001</v>
      </c>
      <c r="I67" s="59">
        <f t="shared" si="20"/>
        <v>1.0818400000000001</v>
      </c>
      <c r="J67" s="58">
        <f t="shared" si="21"/>
        <v>1.08372</v>
      </c>
      <c r="K67" s="59">
        <f t="shared" si="22"/>
        <v>1.0902000000000001</v>
      </c>
      <c r="L67" s="61">
        <f t="shared" si="23"/>
        <v>1.1752728100000001</v>
      </c>
      <c r="M67" s="60">
        <f t="shared" si="24"/>
        <v>1.1814820416000003</v>
      </c>
      <c r="N67" s="61">
        <f t="shared" si="25"/>
        <v>1.1703777856000004</v>
      </c>
      <c r="O67" s="60">
        <f t="shared" si="26"/>
        <v>1.1744490384000001</v>
      </c>
      <c r="P67" s="61">
        <f t="shared" si="27"/>
        <v>1.18853604</v>
      </c>
      <c r="Q67" s="60">
        <f t="shared" si="28"/>
        <v>1.1783733360000002</v>
      </c>
      <c r="R67" s="61">
        <f t="shared" si="29"/>
        <v>1.1728227440000003</v>
      </c>
      <c r="S67" s="60">
        <f t="shared" si="30"/>
        <v>1.1748608520000001</v>
      </c>
      <c r="T67" s="61">
        <f t="shared" si="31"/>
        <v>1.1759168064000003</v>
      </c>
      <c r="U67" s="60">
        <f t="shared" si="32"/>
        <v>1.1779602912000002</v>
      </c>
      <c r="V67" s="61">
        <f t="shared" si="33"/>
        <v>1.1724116448000002</v>
      </c>
      <c r="W67" s="60">
        <f t="shared" si="34"/>
        <v>1.1818858200000002</v>
      </c>
      <c r="X67" s="61">
        <f t="shared" si="35"/>
        <v>1.1850037920000003</v>
      </c>
      <c r="Y67" s="60">
        <f t="shared" si="36"/>
        <v>1.1794219680000002</v>
      </c>
      <c r="Z67" s="61">
        <f t="shared" si="37"/>
        <v>1.1814715440000001</v>
      </c>
    </row>
    <row r="68" spans="2:26" x14ac:dyDescent="0.3">
      <c r="B68" s="9" t="s">
        <v>91</v>
      </c>
      <c r="C68" s="54">
        <v>1.0841000000000001</v>
      </c>
      <c r="D68" s="55">
        <v>1.0831999999999999</v>
      </c>
      <c r="E68" s="54">
        <v>1.0883</v>
      </c>
      <c r="F68" s="54">
        <v>1.0810999999999999</v>
      </c>
      <c r="G68" s="82">
        <f t="shared" si="18"/>
        <v>1.0837399999999999</v>
      </c>
      <c r="H68" s="58">
        <f t="shared" si="19"/>
        <v>1.0864799999999999</v>
      </c>
      <c r="I68" s="59">
        <f t="shared" si="20"/>
        <v>1.08172</v>
      </c>
      <c r="J68" s="58">
        <f t="shared" si="21"/>
        <v>1.0837999999999999</v>
      </c>
      <c r="K68" s="59">
        <f t="shared" si="22"/>
        <v>1.0841000000000001</v>
      </c>
      <c r="L68" s="61">
        <f t="shared" si="23"/>
        <v>1.1744923875999997</v>
      </c>
      <c r="M68" s="60">
        <f t="shared" si="24"/>
        <v>1.1804387903999998</v>
      </c>
      <c r="N68" s="61">
        <f t="shared" si="25"/>
        <v>1.1701181584</v>
      </c>
      <c r="O68" s="60">
        <f t="shared" si="26"/>
        <v>1.1746224399999998</v>
      </c>
      <c r="P68" s="61">
        <f t="shared" si="27"/>
        <v>1.1752728100000001</v>
      </c>
      <c r="Q68" s="60">
        <f t="shared" si="28"/>
        <v>1.1774618351999997</v>
      </c>
      <c r="R68" s="61">
        <f t="shared" si="29"/>
        <v>1.1723032328</v>
      </c>
      <c r="S68" s="60">
        <f t="shared" si="30"/>
        <v>1.1745574119999997</v>
      </c>
      <c r="T68" s="61">
        <f t="shared" si="31"/>
        <v>1.1752671455999999</v>
      </c>
      <c r="U68" s="60">
        <f t="shared" si="32"/>
        <v>1.1775270239999998</v>
      </c>
      <c r="V68" s="61">
        <f t="shared" si="33"/>
        <v>1.1723681359999998</v>
      </c>
      <c r="W68" s="60">
        <f t="shared" si="34"/>
        <v>1.174882534</v>
      </c>
      <c r="X68" s="61">
        <f t="shared" si="35"/>
        <v>1.1778529680000001</v>
      </c>
      <c r="Y68" s="60">
        <f t="shared" si="36"/>
        <v>1.1726926520000001</v>
      </c>
      <c r="Z68" s="61">
        <f t="shared" si="37"/>
        <v>1.17494758</v>
      </c>
    </row>
    <row r="69" spans="2:26" x14ac:dyDescent="0.3">
      <c r="B69" s="9" t="s">
        <v>92</v>
      </c>
      <c r="C69" s="54">
        <v>1.0831999999999999</v>
      </c>
      <c r="D69" s="55">
        <v>1.0802</v>
      </c>
      <c r="E69" s="54">
        <v>1.0846</v>
      </c>
      <c r="F69" s="54">
        <v>1.0788</v>
      </c>
      <c r="G69" s="82">
        <f t="shared" si="18"/>
        <v>1.0841799999999999</v>
      </c>
      <c r="H69" s="58">
        <f t="shared" si="19"/>
        <v>1.0867999999999998</v>
      </c>
      <c r="I69" s="59">
        <f t="shared" si="20"/>
        <v>1.0820599999999998</v>
      </c>
      <c r="J69" s="58">
        <f t="shared" si="21"/>
        <v>1.0834199999999998</v>
      </c>
      <c r="K69" s="59">
        <f t="shared" si="22"/>
        <v>1.0831999999999999</v>
      </c>
      <c r="L69" s="61">
        <f t="shared" si="23"/>
        <v>1.1754462723999999</v>
      </c>
      <c r="M69" s="60">
        <f t="shared" si="24"/>
        <v>1.1811342399999996</v>
      </c>
      <c r="N69" s="61">
        <f t="shared" si="25"/>
        <v>1.1708538435999996</v>
      </c>
      <c r="O69" s="60">
        <f t="shared" si="26"/>
        <v>1.1737988963999997</v>
      </c>
      <c r="P69" s="61">
        <f t="shared" si="27"/>
        <v>1.1733222399999998</v>
      </c>
      <c r="Q69" s="60">
        <f t="shared" si="28"/>
        <v>1.1782868239999997</v>
      </c>
      <c r="R69" s="61">
        <f t="shared" si="29"/>
        <v>1.1731478107999997</v>
      </c>
      <c r="S69" s="60">
        <f t="shared" si="30"/>
        <v>1.1746222955999996</v>
      </c>
      <c r="T69" s="61">
        <f t="shared" si="31"/>
        <v>1.1759828079999994</v>
      </c>
      <c r="U69" s="60">
        <f t="shared" si="32"/>
        <v>1.1774608559999995</v>
      </c>
      <c r="V69" s="61">
        <f t="shared" si="33"/>
        <v>1.1723254451999996</v>
      </c>
      <c r="W69" s="60">
        <f t="shared" si="34"/>
        <v>1.1743837759999998</v>
      </c>
      <c r="X69" s="61">
        <f t="shared" si="35"/>
        <v>1.1772217599999997</v>
      </c>
      <c r="Y69" s="60">
        <f t="shared" si="36"/>
        <v>1.1720873919999997</v>
      </c>
      <c r="Z69" s="61">
        <f t="shared" si="37"/>
        <v>1.1735605439999997</v>
      </c>
    </row>
    <row r="70" spans="2:26" x14ac:dyDescent="0.3">
      <c r="B70" s="9" t="s">
        <v>93</v>
      </c>
      <c r="C70" s="54">
        <v>1.08</v>
      </c>
      <c r="D70" s="55">
        <v>1.0857000000000001</v>
      </c>
      <c r="E70" s="54">
        <v>1.0861000000000001</v>
      </c>
      <c r="F70" s="54">
        <v>1.0799000000000001</v>
      </c>
      <c r="G70" s="82">
        <f t="shared" si="18"/>
        <v>1.0841400000000001</v>
      </c>
      <c r="H70" s="58">
        <f t="shared" si="19"/>
        <v>1.0868600000000002</v>
      </c>
      <c r="I70" s="59">
        <f t="shared" si="20"/>
        <v>1.0824200000000002</v>
      </c>
      <c r="J70" s="58">
        <f t="shared" si="21"/>
        <v>1.0838399999999999</v>
      </c>
      <c r="K70" s="59">
        <f t="shared" si="22"/>
        <v>1.08</v>
      </c>
      <c r="L70" s="61">
        <f t="shared" si="23"/>
        <v>1.1753595396000003</v>
      </c>
      <c r="M70" s="60">
        <f t="shared" si="24"/>
        <v>1.1812646596000003</v>
      </c>
      <c r="N70" s="61">
        <f t="shared" si="25"/>
        <v>1.1716330564000004</v>
      </c>
      <c r="O70" s="60">
        <f t="shared" si="26"/>
        <v>1.1747091455999998</v>
      </c>
      <c r="P70" s="61">
        <f t="shared" si="27"/>
        <v>1.1664000000000001</v>
      </c>
      <c r="Q70" s="60">
        <f t="shared" si="28"/>
        <v>1.1783084004000002</v>
      </c>
      <c r="R70" s="61">
        <f t="shared" si="29"/>
        <v>1.1734948188000003</v>
      </c>
      <c r="S70" s="60">
        <f t="shared" si="30"/>
        <v>1.1750342976000001</v>
      </c>
      <c r="T70" s="61">
        <f t="shared" si="31"/>
        <v>1.1764390012000003</v>
      </c>
      <c r="U70" s="60">
        <f t="shared" si="32"/>
        <v>1.1779823424</v>
      </c>
      <c r="V70" s="61">
        <f t="shared" si="33"/>
        <v>1.1731700928000002</v>
      </c>
      <c r="W70" s="60">
        <f t="shared" si="34"/>
        <v>1.1708712000000001</v>
      </c>
      <c r="X70" s="61">
        <f t="shared" si="35"/>
        <v>1.1738088000000002</v>
      </c>
      <c r="Y70" s="60">
        <f t="shared" si="36"/>
        <v>1.1690136000000002</v>
      </c>
      <c r="Z70" s="61">
        <f t="shared" si="37"/>
        <v>1.1705471999999999</v>
      </c>
    </row>
    <row r="71" spans="2:26" x14ac:dyDescent="0.3">
      <c r="B71" s="9" t="s">
        <v>94</v>
      </c>
      <c r="C71" s="54">
        <v>1.0854999999999999</v>
      </c>
      <c r="D71" s="55">
        <v>1.0860000000000001</v>
      </c>
      <c r="E71" s="54">
        <v>1.089</v>
      </c>
      <c r="F71" s="54">
        <v>1.0852999999999999</v>
      </c>
      <c r="G71" s="82">
        <f t="shared" si="18"/>
        <v>1.08412</v>
      </c>
      <c r="H71" s="58">
        <f t="shared" si="19"/>
        <v>1.0865800000000001</v>
      </c>
      <c r="I71" s="59">
        <f t="shared" si="20"/>
        <v>1.0822000000000001</v>
      </c>
      <c r="J71" s="58">
        <f t="shared" si="21"/>
        <v>1.08382</v>
      </c>
      <c r="K71" s="59">
        <f t="shared" si="22"/>
        <v>1.0854999999999999</v>
      </c>
      <c r="L71" s="61">
        <f t="shared" si="23"/>
        <v>1.1753161744</v>
      </c>
      <c r="M71" s="60">
        <f t="shared" si="24"/>
        <v>1.1806560964000001</v>
      </c>
      <c r="N71" s="61">
        <f t="shared" si="25"/>
        <v>1.1711568400000001</v>
      </c>
      <c r="O71" s="60">
        <f t="shared" si="26"/>
        <v>1.1746657923999999</v>
      </c>
      <c r="P71" s="61">
        <f t="shared" si="27"/>
        <v>1.1783102499999998</v>
      </c>
      <c r="Q71" s="60">
        <f t="shared" si="28"/>
        <v>1.1779831096000002</v>
      </c>
      <c r="R71" s="61">
        <f t="shared" si="29"/>
        <v>1.173234664</v>
      </c>
      <c r="S71" s="60">
        <f t="shared" si="30"/>
        <v>1.1749909383999999</v>
      </c>
      <c r="T71" s="61">
        <f t="shared" si="31"/>
        <v>1.1758968760000001</v>
      </c>
      <c r="U71" s="60">
        <f t="shared" si="32"/>
        <v>1.1776571356000001</v>
      </c>
      <c r="V71" s="61">
        <f t="shared" si="33"/>
        <v>1.172910004</v>
      </c>
      <c r="W71" s="60">
        <f t="shared" si="34"/>
        <v>1.1768122599999999</v>
      </c>
      <c r="X71" s="61">
        <f t="shared" si="35"/>
        <v>1.1794825900000001</v>
      </c>
      <c r="Y71" s="60">
        <f t="shared" si="36"/>
        <v>1.1747281000000001</v>
      </c>
      <c r="Z71" s="61">
        <f t="shared" si="37"/>
        <v>1.17648661</v>
      </c>
    </row>
    <row r="72" spans="2:26" x14ac:dyDescent="0.3">
      <c r="B72" s="9" t="s">
        <v>95</v>
      </c>
      <c r="C72" s="54">
        <v>1.0858000000000001</v>
      </c>
      <c r="D72" s="55">
        <v>1.0853999999999999</v>
      </c>
      <c r="E72" s="54">
        <v>1.0868</v>
      </c>
      <c r="F72" s="54">
        <v>1.0841000000000001</v>
      </c>
      <c r="G72" s="82">
        <f t="shared" si="18"/>
        <v>1.08436</v>
      </c>
      <c r="H72" s="58">
        <f t="shared" si="19"/>
        <v>1.0869200000000001</v>
      </c>
      <c r="I72" s="59">
        <f t="shared" si="20"/>
        <v>1.08246</v>
      </c>
      <c r="J72" s="58">
        <f t="shared" si="21"/>
        <v>1.0837599999999998</v>
      </c>
      <c r="K72" s="59">
        <f t="shared" si="22"/>
        <v>1.0858000000000001</v>
      </c>
      <c r="L72" s="61">
        <f t="shared" si="23"/>
        <v>1.1758366095999999</v>
      </c>
      <c r="M72" s="60">
        <f t="shared" si="24"/>
        <v>1.1813950864000002</v>
      </c>
      <c r="N72" s="61">
        <f t="shared" si="25"/>
        <v>1.1717196515999999</v>
      </c>
      <c r="O72" s="60">
        <f t="shared" si="26"/>
        <v>1.1745357375999996</v>
      </c>
      <c r="P72" s="61">
        <f t="shared" si="27"/>
        <v>1.1789616400000003</v>
      </c>
      <c r="Q72" s="60">
        <f t="shared" si="28"/>
        <v>1.1786125712000002</v>
      </c>
      <c r="R72" s="61">
        <f t="shared" si="29"/>
        <v>1.1737763256</v>
      </c>
      <c r="S72" s="60">
        <f t="shared" si="30"/>
        <v>1.1751859935999998</v>
      </c>
      <c r="T72" s="61">
        <f t="shared" si="31"/>
        <v>1.1765474232000002</v>
      </c>
      <c r="U72" s="60">
        <f t="shared" si="32"/>
        <v>1.1779604191999999</v>
      </c>
      <c r="V72" s="61">
        <f t="shared" si="33"/>
        <v>1.1731268495999998</v>
      </c>
      <c r="W72" s="60">
        <f t="shared" si="34"/>
        <v>1.1773980880000001</v>
      </c>
      <c r="X72" s="61">
        <f t="shared" si="35"/>
        <v>1.1801777360000003</v>
      </c>
      <c r="Y72" s="60">
        <f t="shared" si="36"/>
        <v>1.1753350680000001</v>
      </c>
      <c r="Z72" s="61">
        <f t="shared" si="37"/>
        <v>1.176746608</v>
      </c>
    </row>
    <row r="73" spans="2:26" x14ac:dyDescent="0.3">
      <c r="B73" s="9" t="s">
        <v>96</v>
      </c>
      <c r="C73" s="54">
        <v>1.0845</v>
      </c>
      <c r="D73" s="55">
        <v>1.0813999999999999</v>
      </c>
      <c r="E73" s="54">
        <v>1.0859000000000001</v>
      </c>
      <c r="F73" s="54">
        <v>1.0805</v>
      </c>
      <c r="G73" s="82">
        <f t="shared" si="18"/>
        <v>1.0853999999999999</v>
      </c>
      <c r="H73" s="58">
        <f t="shared" si="19"/>
        <v>1.0873200000000001</v>
      </c>
      <c r="I73" s="59">
        <f t="shared" si="20"/>
        <v>1.0830600000000001</v>
      </c>
      <c r="J73" s="58">
        <f t="shared" si="21"/>
        <v>1.08426</v>
      </c>
      <c r="K73" s="59">
        <f t="shared" si="22"/>
        <v>1.0845</v>
      </c>
      <c r="L73" s="61">
        <f t="shared" si="23"/>
        <v>1.1780931599999998</v>
      </c>
      <c r="M73" s="60">
        <f t="shared" si="24"/>
        <v>1.1822647824000001</v>
      </c>
      <c r="N73" s="61">
        <f t="shared" si="25"/>
        <v>1.1730189636000004</v>
      </c>
      <c r="O73" s="60">
        <f t="shared" si="26"/>
        <v>1.1756197476000001</v>
      </c>
      <c r="P73" s="61">
        <f t="shared" si="27"/>
        <v>1.17614025</v>
      </c>
      <c r="Q73" s="60">
        <f t="shared" si="28"/>
        <v>1.180177128</v>
      </c>
      <c r="R73" s="61">
        <f t="shared" si="29"/>
        <v>1.175553324</v>
      </c>
      <c r="S73" s="60">
        <f t="shared" si="30"/>
        <v>1.1768558039999999</v>
      </c>
      <c r="T73" s="61">
        <f t="shared" si="31"/>
        <v>1.1776327992000002</v>
      </c>
      <c r="U73" s="60">
        <f t="shared" si="32"/>
        <v>1.1789375832</v>
      </c>
      <c r="V73" s="61">
        <f t="shared" si="33"/>
        <v>1.1743186356000002</v>
      </c>
      <c r="W73" s="60">
        <f t="shared" si="34"/>
        <v>1.1771163</v>
      </c>
      <c r="X73" s="61">
        <f t="shared" si="35"/>
        <v>1.17919854</v>
      </c>
      <c r="Y73" s="60">
        <f t="shared" si="36"/>
        <v>1.1745785700000002</v>
      </c>
      <c r="Z73" s="61">
        <f t="shared" si="37"/>
        <v>1.17587997</v>
      </c>
    </row>
    <row r="74" spans="2:26" x14ac:dyDescent="0.3">
      <c r="B74" s="9" t="s">
        <v>97</v>
      </c>
      <c r="C74" s="54">
        <v>1.0812999999999999</v>
      </c>
      <c r="D74" s="55">
        <v>1.0824</v>
      </c>
      <c r="E74" s="54">
        <v>1.0862000000000001</v>
      </c>
      <c r="F74" s="54">
        <v>1.0805</v>
      </c>
      <c r="G74" s="82">
        <f t="shared" si="18"/>
        <v>1.0866199999999999</v>
      </c>
      <c r="H74" s="58">
        <f t="shared" si="19"/>
        <v>1.0880000000000001</v>
      </c>
      <c r="I74" s="59">
        <f t="shared" si="20"/>
        <v>1.0840399999999999</v>
      </c>
      <c r="J74" s="58">
        <f t="shared" si="21"/>
        <v>1.0852999999999999</v>
      </c>
      <c r="K74" s="59">
        <f t="shared" si="22"/>
        <v>1.0812999999999999</v>
      </c>
      <c r="L74" s="61">
        <f t="shared" si="23"/>
        <v>1.1807430243999999</v>
      </c>
      <c r="M74" s="60">
        <f t="shared" si="24"/>
        <v>1.1837440000000001</v>
      </c>
      <c r="N74" s="61">
        <f t="shared" si="25"/>
        <v>1.1751427215999997</v>
      </c>
      <c r="O74" s="60">
        <f t="shared" si="26"/>
        <v>1.1778760899999998</v>
      </c>
      <c r="P74" s="61">
        <f t="shared" si="27"/>
        <v>1.1692096899999997</v>
      </c>
      <c r="Q74" s="60">
        <f t="shared" si="28"/>
        <v>1.1822425599999999</v>
      </c>
      <c r="R74" s="61">
        <f t="shared" si="29"/>
        <v>1.1779395447999998</v>
      </c>
      <c r="S74" s="60">
        <f t="shared" si="30"/>
        <v>1.1793086859999999</v>
      </c>
      <c r="T74" s="61">
        <f t="shared" si="31"/>
        <v>1.17943552</v>
      </c>
      <c r="U74" s="60">
        <f t="shared" si="32"/>
        <v>1.1808064</v>
      </c>
      <c r="V74" s="61">
        <f t="shared" si="33"/>
        <v>1.1765086119999999</v>
      </c>
      <c r="W74" s="60">
        <f t="shared" si="34"/>
        <v>1.1749622059999998</v>
      </c>
      <c r="X74" s="61">
        <f t="shared" si="35"/>
        <v>1.1764543999999999</v>
      </c>
      <c r="Y74" s="60">
        <f t="shared" si="36"/>
        <v>1.1721724519999999</v>
      </c>
      <c r="Z74" s="61">
        <f t="shared" si="37"/>
        <v>1.1735348899999998</v>
      </c>
    </row>
    <row r="75" spans="2:26" x14ac:dyDescent="0.3">
      <c r="B75" s="9" t="s">
        <v>98</v>
      </c>
      <c r="C75" s="54">
        <v>1.0821000000000001</v>
      </c>
      <c r="D75" s="55">
        <v>1.0854999999999999</v>
      </c>
      <c r="E75" s="54">
        <v>1.0864</v>
      </c>
      <c r="F75" s="54">
        <v>1.0817000000000001</v>
      </c>
      <c r="G75" s="82">
        <f t="shared" si="18"/>
        <v>1.0859000000000001</v>
      </c>
      <c r="H75" s="58">
        <f t="shared" si="19"/>
        <v>1.0884399999999999</v>
      </c>
      <c r="I75" s="59">
        <f t="shared" si="20"/>
        <v>1.0839399999999999</v>
      </c>
      <c r="J75" s="58">
        <f t="shared" si="21"/>
        <v>1.0865199999999997</v>
      </c>
      <c r="K75" s="59">
        <f t="shared" si="22"/>
        <v>1.0821000000000001</v>
      </c>
      <c r="L75" s="61">
        <f t="shared" si="23"/>
        <v>1.1791788100000002</v>
      </c>
      <c r="M75" s="60">
        <f t="shared" si="24"/>
        <v>1.1847016335999996</v>
      </c>
      <c r="N75" s="61">
        <f t="shared" si="25"/>
        <v>1.1749259235999998</v>
      </c>
      <c r="O75" s="60">
        <f t="shared" si="26"/>
        <v>1.1805257103999993</v>
      </c>
      <c r="P75" s="61">
        <f t="shared" si="27"/>
        <v>1.17094041</v>
      </c>
      <c r="Q75" s="60">
        <f t="shared" si="28"/>
        <v>1.1819369959999999</v>
      </c>
      <c r="R75" s="61">
        <f t="shared" si="29"/>
        <v>1.177050446</v>
      </c>
      <c r="S75" s="60">
        <f t="shared" si="30"/>
        <v>1.1798520679999998</v>
      </c>
      <c r="T75" s="61">
        <f t="shared" si="31"/>
        <v>1.1798036535999998</v>
      </c>
      <c r="U75" s="60">
        <f t="shared" si="32"/>
        <v>1.1826118287999996</v>
      </c>
      <c r="V75" s="61">
        <f t="shared" si="33"/>
        <v>1.1777224887999995</v>
      </c>
      <c r="W75" s="60">
        <f t="shared" si="34"/>
        <v>1.1750523900000001</v>
      </c>
      <c r="X75" s="61">
        <f t="shared" si="35"/>
        <v>1.1778009239999998</v>
      </c>
      <c r="Y75" s="60">
        <f t="shared" si="36"/>
        <v>1.1729314739999999</v>
      </c>
      <c r="Z75" s="61">
        <f t="shared" si="37"/>
        <v>1.1757232919999998</v>
      </c>
    </row>
    <row r="76" spans="2:26" x14ac:dyDescent="0.3">
      <c r="B76" s="9" t="s">
        <v>99</v>
      </c>
      <c r="C76" s="54">
        <v>1.0853999999999999</v>
      </c>
      <c r="D76" s="55">
        <v>1.0859000000000001</v>
      </c>
      <c r="E76" s="54">
        <v>1.0875999999999999</v>
      </c>
      <c r="F76" s="54">
        <v>1.0842000000000001</v>
      </c>
      <c r="G76" s="82">
        <f t="shared" si="18"/>
        <v>1.0844800000000001</v>
      </c>
      <c r="H76" s="58">
        <f t="shared" si="19"/>
        <v>1.08744</v>
      </c>
      <c r="I76" s="59">
        <f t="shared" si="20"/>
        <v>1.0824399999999998</v>
      </c>
      <c r="J76" s="58">
        <f t="shared" si="21"/>
        <v>1.0858000000000001</v>
      </c>
      <c r="K76" s="59">
        <f t="shared" si="22"/>
        <v>1.0853999999999999</v>
      </c>
      <c r="L76" s="61">
        <f t="shared" si="23"/>
        <v>1.1760968704000003</v>
      </c>
      <c r="M76" s="60">
        <f t="shared" si="24"/>
        <v>1.1825257536</v>
      </c>
      <c r="N76" s="61">
        <f t="shared" si="25"/>
        <v>1.1716763535999997</v>
      </c>
      <c r="O76" s="60">
        <f t="shared" si="26"/>
        <v>1.1789616400000003</v>
      </c>
      <c r="P76" s="61">
        <f t="shared" si="27"/>
        <v>1.1780931599999998</v>
      </c>
      <c r="Q76" s="60">
        <f t="shared" si="28"/>
        <v>1.1793069312000002</v>
      </c>
      <c r="R76" s="61">
        <f t="shared" si="29"/>
        <v>1.1738845311999999</v>
      </c>
      <c r="S76" s="60">
        <f t="shared" si="30"/>
        <v>1.1775283840000002</v>
      </c>
      <c r="T76" s="61">
        <f t="shared" si="31"/>
        <v>1.1770885535999998</v>
      </c>
      <c r="U76" s="60">
        <f t="shared" si="32"/>
        <v>1.180742352</v>
      </c>
      <c r="V76" s="61">
        <f t="shared" si="33"/>
        <v>1.1753133519999999</v>
      </c>
      <c r="W76" s="60">
        <f t="shared" si="34"/>
        <v>1.177094592</v>
      </c>
      <c r="X76" s="61">
        <f t="shared" si="35"/>
        <v>1.1803073759999998</v>
      </c>
      <c r="Y76" s="60">
        <f t="shared" si="36"/>
        <v>1.1748803759999997</v>
      </c>
      <c r="Z76" s="61">
        <f t="shared" si="37"/>
        <v>1.1785273199999999</v>
      </c>
    </row>
    <row r="77" spans="2:26" x14ac:dyDescent="0.3">
      <c r="B77" s="9" t="s">
        <v>100</v>
      </c>
      <c r="C77" s="54">
        <v>1.0854999999999999</v>
      </c>
      <c r="D77" s="55">
        <v>1.0866</v>
      </c>
      <c r="E77" s="54">
        <v>1.0885</v>
      </c>
      <c r="F77" s="54">
        <v>1.0853999999999999</v>
      </c>
      <c r="G77" s="82">
        <f t="shared" si="18"/>
        <v>1.08264</v>
      </c>
      <c r="H77" s="58">
        <f t="shared" si="19"/>
        <v>1.08588</v>
      </c>
      <c r="I77" s="59">
        <f t="shared" si="20"/>
        <v>1.0806799999999999</v>
      </c>
      <c r="J77" s="58">
        <f t="shared" si="21"/>
        <v>1.08446</v>
      </c>
      <c r="K77" s="59">
        <f t="shared" si="22"/>
        <v>1.0854999999999999</v>
      </c>
      <c r="L77" s="61">
        <f t="shared" si="23"/>
        <v>1.1721093696</v>
      </c>
      <c r="M77" s="60">
        <f t="shared" si="24"/>
        <v>1.1791353743999999</v>
      </c>
      <c r="N77" s="61">
        <f t="shared" si="25"/>
        <v>1.1678692623999998</v>
      </c>
      <c r="O77" s="60">
        <f t="shared" si="26"/>
        <v>1.1760534916000001</v>
      </c>
      <c r="P77" s="61">
        <f t="shared" si="27"/>
        <v>1.1783102499999998</v>
      </c>
      <c r="Q77" s="60">
        <f t="shared" si="28"/>
        <v>1.1756171232000001</v>
      </c>
      <c r="R77" s="61">
        <f t="shared" si="29"/>
        <v>1.1699873951999999</v>
      </c>
      <c r="S77" s="60">
        <f t="shared" si="30"/>
        <v>1.1740797744</v>
      </c>
      <c r="T77" s="61">
        <f t="shared" si="31"/>
        <v>1.1734887983999998</v>
      </c>
      <c r="U77" s="60">
        <f t="shared" si="32"/>
        <v>1.1775934248</v>
      </c>
      <c r="V77" s="61">
        <f t="shared" si="33"/>
        <v>1.1719542327999999</v>
      </c>
      <c r="W77" s="60">
        <f t="shared" si="34"/>
        <v>1.1752057199999999</v>
      </c>
      <c r="X77" s="61">
        <f t="shared" si="35"/>
        <v>1.1787227399999998</v>
      </c>
      <c r="Y77" s="60">
        <f t="shared" si="36"/>
        <v>1.1730781399999997</v>
      </c>
      <c r="Z77" s="61">
        <f t="shared" si="37"/>
        <v>1.1771813299999998</v>
      </c>
    </row>
    <row r="78" spans="2:26" x14ac:dyDescent="0.3">
      <c r="B78" s="9" t="s">
        <v>101</v>
      </c>
      <c r="C78" s="54">
        <v>1.087</v>
      </c>
      <c r="D78" s="55">
        <v>1.0866</v>
      </c>
      <c r="E78" s="54">
        <v>1.0879000000000001</v>
      </c>
      <c r="F78" s="54">
        <v>1.0834999999999999</v>
      </c>
      <c r="G78" s="82">
        <f t="shared" si="18"/>
        <v>1.0809599999999999</v>
      </c>
      <c r="H78" s="58">
        <f t="shared" si="19"/>
        <v>1.0840999999999998</v>
      </c>
      <c r="I78" s="59">
        <f t="shared" si="20"/>
        <v>1.0791799999999998</v>
      </c>
      <c r="J78" s="58">
        <f t="shared" si="21"/>
        <v>1.0824400000000001</v>
      </c>
      <c r="K78" s="59">
        <f t="shared" si="22"/>
        <v>1.087</v>
      </c>
      <c r="L78" s="61">
        <f t="shared" si="23"/>
        <v>1.1684745215999999</v>
      </c>
      <c r="M78" s="60">
        <f t="shared" si="24"/>
        <v>1.1752728099999996</v>
      </c>
      <c r="N78" s="61">
        <f t="shared" si="25"/>
        <v>1.1646294723999995</v>
      </c>
      <c r="O78" s="60">
        <f t="shared" si="26"/>
        <v>1.1716763536000001</v>
      </c>
      <c r="P78" s="61">
        <f t="shared" si="27"/>
        <v>1.1815689999999999</v>
      </c>
      <c r="Q78" s="60">
        <f t="shared" si="28"/>
        <v>1.1718687359999997</v>
      </c>
      <c r="R78" s="61">
        <f t="shared" si="29"/>
        <v>1.1665504127999997</v>
      </c>
      <c r="S78" s="60">
        <f t="shared" si="30"/>
        <v>1.1700743424</v>
      </c>
      <c r="T78" s="61">
        <f t="shared" si="31"/>
        <v>1.1699390379999997</v>
      </c>
      <c r="U78" s="60">
        <f t="shared" si="32"/>
        <v>1.173473204</v>
      </c>
      <c r="V78" s="61">
        <f t="shared" si="33"/>
        <v>1.1681475991999999</v>
      </c>
      <c r="W78" s="60">
        <f t="shared" si="34"/>
        <v>1.17500352</v>
      </c>
      <c r="X78" s="61">
        <f t="shared" si="35"/>
        <v>1.1784166999999999</v>
      </c>
      <c r="Y78" s="60">
        <f t="shared" si="36"/>
        <v>1.1730686599999998</v>
      </c>
      <c r="Z78" s="61">
        <f t="shared" si="37"/>
        <v>1.1766122800000001</v>
      </c>
    </row>
    <row r="79" spans="2:26" x14ac:dyDescent="0.3">
      <c r="B79" s="9" t="s">
        <v>102</v>
      </c>
      <c r="C79" s="54">
        <v>1.0865</v>
      </c>
      <c r="D79" s="55">
        <v>1.0885</v>
      </c>
      <c r="E79" s="54">
        <v>1.0895999999999999</v>
      </c>
      <c r="F79" s="54">
        <v>1.0853999999999999</v>
      </c>
      <c r="G79" s="82">
        <f t="shared" si="18"/>
        <v>1.0782799999999999</v>
      </c>
      <c r="H79" s="58">
        <f t="shared" si="19"/>
        <v>1.08188</v>
      </c>
      <c r="I79" s="59">
        <f t="shared" si="20"/>
        <v>1.0765799999999999</v>
      </c>
      <c r="J79" s="58">
        <f t="shared" si="21"/>
        <v>1.0807600000000002</v>
      </c>
      <c r="K79" s="59">
        <f t="shared" si="22"/>
        <v>1.0865</v>
      </c>
      <c r="L79" s="61">
        <f t="shared" si="23"/>
        <v>1.1626877583999997</v>
      </c>
      <c r="M79" s="60">
        <f t="shared" si="24"/>
        <v>1.1704643343999999</v>
      </c>
      <c r="N79" s="61">
        <f t="shared" si="25"/>
        <v>1.1590244963999998</v>
      </c>
      <c r="O79" s="60">
        <f t="shared" si="26"/>
        <v>1.1680421776000003</v>
      </c>
      <c r="P79" s="61">
        <f t="shared" si="27"/>
        <v>1.1804822500000001</v>
      </c>
      <c r="Q79" s="60">
        <f t="shared" si="28"/>
        <v>1.1665695663999998</v>
      </c>
      <c r="R79" s="61">
        <f t="shared" si="29"/>
        <v>1.1608546823999997</v>
      </c>
      <c r="S79" s="60">
        <f t="shared" si="30"/>
        <v>1.1653618928</v>
      </c>
      <c r="T79" s="61">
        <f t="shared" si="31"/>
        <v>1.1647303703999998</v>
      </c>
      <c r="U79" s="60">
        <f t="shared" si="32"/>
        <v>1.1692526288</v>
      </c>
      <c r="V79" s="61">
        <f t="shared" si="33"/>
        <v>1.1635246008</v>
      </c>
      <c r="W79" s="60">
        <f t="shared" si="34"/>
        <v>1.17155122</v>
      </c>
      <c r="X79" s="61">
        <f t="shared" si="35"/>
        <v>1.17546262</v>
      </c>
      <c r="Y79" s="60">
        <f t="shared" si="36"/>
        <v>1.1697041699999999</v>
      </c>
      <c r="Z79" s="61">
        <f t="shared" si="37"/>
        <v>1.1742457400000001</v>
      </c>
    </row>
    <row r="80" spans="2:26" x14ac:dyDescent="0.3">
      <c r="B80" s="9" t="s">
        <v>103</v>
      </c>
      <c r="C80" s="54">
        <v>1.0882000000000001</v>
      </c>
      <c r="D80" s="55">
        <v>1.0819000000000001</v>
      </c>
      <c r="E80" s="54">
        <v>1.0886</v>
      </c>
      <c r="F80" s="54">
        <v>1.0811999999999999</v>
      </c>
      <c r="G80" s="82">
        <f t="shared" si="18"/>
        <v>1.07698</v>
      </c>
      <c r="H80" s="58">
        <f t="shared" si="19"/>
        <v>1.0793200000000001</v>
      </c>
      <c r="I80" s="59">
        <f t="shared" si="20"/>
        <v>1.0750199999999999</v>
      </c>
      <c r="J80" s="58">
        <f t="shared" si="21"/>
        <v>1.07802</v>
      </c>
      <c r="K80" s="59">
        <f t="shared" si="22"/>
        <v>1.0882000000000001</v>
      </c>
      <c r="L80" s="61">
        <f t="shared" si="23"/>
        <v>1.1598859204</v>
      </c>
      <c r="M80" s="60">
        <f t="shared" si="24"/>
        <v>1.1649316624000001</v>
      </c>
      <c r="N80" s="61">
        <f t="shared" si="25"/>
        <v>1.1556680003999997</v>
      </c>
      <c r="O80" s="60">
        <f t="shared" si="26"/>
        <v>1.1621271203999999</v>
      </c>
      <c r="P80" s="61">
        <f t="shared" si="27"/>
        <v>1.1841792400000002</v>
      </c>
      <c r="Q80" s="60">
        <f t="shared" si="28"/>
        <v>1.1624060536</v>
      </c>
      <c r="R80" s="61">
        <f t="shared" si="29"/>
        <v>1.1577750395999999</v>
      </c>
      <c r="S80" s="60">
        <f t="shared" si="30"/>
        <v>1.1610059796000001</v>
      </c>
      <c r="T80" s="61">
        <f t="shared" si="31"/>
        <v>1.1602905863999999</v>
      </c>
      <c r="U80" s="60">
        <f t="shared" si="32"/>
        <v>1.1635285464</v>
      </c>
      <c r="V80" s="61">
        <f t="shared" si="33"/>
        <v>1.1588930603999998</v>
      </c>
      <c r="W80" s="60">
        <f t="shared" si="34"/>
        <v>1.171969636</v>
      </c>
      <c r="X80" s="61">
        <f t="shared" si="35"/>
        <v>1.1745160240000001</v>
      </c>
      <c r="Y80" s="60">
        <f t="shared" si="36"/>
        <v>1.1698367639999998</v>
      </c>
      <c r="Z80" s="61">
        <f t="shared" si="37"/>
        <v>1.1731013640000001</v>
      </c>
    </row>
    <row r="81" spans="2:26" s="1" customFormat="1" x14ac:dyDescent="0.3">
      <c r="B81" s="9" t="s">
        <v>104</v>
      </c>
      <c r="C81" s="54">
        <v>1.0818000000000001</v>
      </c>
      <c r="D81" s="55">
        <v>1.0788</v>
      </c>
      <c r="E81" s="54">
        <v>1.0826</v>
      </c>
      <c r="F81" s="54">
        <v>1.0767</v>
      </c>
      <c r="G81" s="82">
        <f t="shared" si="18"/>
        <v>1.0766199999999999</v>
      </c>
      <c r="H81" s="58">
        <f t="shared" si="19"/>
        <v>1.07856</v>
      </c>
      <c r="I81" s="59">
        <f t="shared" si="20"/>
        <v>1.0746199999999999</v>
      </c>
      <c r="J81" s="58">
        <f t="shared" si="21"/>
        <v>1.0767</v>
      </c>
      <c r="K81" s="59">
        <f t="shared" si="22"/>
        <v>1.0818000000000001</v>
      </c>
      <c r="L81" s="61">
        <f t="shared" si="23"/>
        <v>1.1591106243999998</v>
      </c>
      <c r="M81" s="60">
        <f t="shared" si="24"/>
        <v>1.1632916735999999</v>
      </c>
      <c r="N81" s="61">
        <f t="shared" si="25"/>
        <v>1.1548081443999998</v>
      </c>
      <c r="O81" s="60">
        <f t="shared" si="26"/>
        <v>1.1592828900000001</v>
      </c>
      <c r="P81" s="61">
        <f t="shared" si="27"/>
        <v>1.1702912400000003</v>
      </c>
      <c r="Q81" s="60">
        <f t="shared" si="28"/>
        <v>1.1611992671999998</v>
      </c>
      <c r="R81" s="61">
        <f t="shared" si="29"/>
        <v>1.1569573843999998</v>
      </c>
      <c r="S81" s="60">
        <f t="shared" si="30"/>
        <v>1.1591967539999999</v>
      </c>
      <c r="T81" s="61">
        <f t="shared" si="31"/>
        <v>1.1590421471999999</v>
      </c>
      <c r="U81" s="60">
        <f t="shared" si="32"/>
        <v>1.1612855520000001</v>
      </c>
      <c r="V81" s="61">
        <f t="shared" si="33"/>
        <v>1.1570433539999998</v>
      </c>
      <c r="W81" s="60">
        <f t="shared" si="34"/>
        <v>1.1646875160000001</v>
      </c>
      <c r="X81" s="61">
        <f t="shared" si="35"/>
        <v>1.166786208</v>
      </c>
      <c r="Y81" s="60">
        <f t="shared" si="36"/>
        <v>1.162523916</v>
      </c>
      <c r="Z81" s="61">
        <f t="shared" si="37"/>
        <v>1.1647740600000001</v>
      </c>
    </row>
    <row r="82" spans="2:26" s="1" customFormat="1" x14ac:dyDescent="0.3">
      <c r="B82" s="9" t="s">
        <v>105</v>
      </c>
      <c r="C82" s="54">
        <v>1.0788</v>
      </c>
      <c r="D82" s="55">
        <v>1.0773999999999999</v>
      </c>
      <c r="E82" s="54">
        <v>1.0807</v>
      </c>
      <c r="F82" s="54">
        <v>1.0766</v>
      </c>
      <c r="G82" s="82">
        <f t="shared" si="18"/>
        <v>1.0763799999999999</v>
      </c>
      <c r="H82" s="58">
        <f t="shared" si="19"/>
        <v>1.0782399999999999</v>
      </c>
      <c r="I82" s="59">
        <f t="shared" si="20"/>
        <v>1.0743800000000001</v>
      </c>
      <c r="J82" s="58">
        <f t="shared" si="21"/>
        <v>1.0763000000000003</v>
      </c>
      <c r="K82" s="59">
        <f t="shared" si="22"/>
        <v>1.0788</v>
      </c>
      <c r="L82" s="61">
        <f t="shared" si="23"/>
        <v>1.1585939043999998</v>
      </c>
      <c r="M82" s="60">
        <f t="shared" si="24"/>
        <v>1.1626014975999996</v>
      </c>
      <c r="N82" s="61">
        <f t="shared" si="25"/>
        <v>1.1542923844000001</v>
      </c>
      <c r="O82" s="60">
        <f t="shared" si="26"/>
        <v>1.1584216900000006</v>
      </c>
      <c r="P82" s="61">
        <f t="shared" si="27"/>
        <v>1.1638094399999999</v>
      </c>
      <c r="Q82" s="60">
        <f t="shared" si="28"/>
        <v>1.1605959711999998</v>
      </c>
      <c r="R82" s="61">
        <f t="shared" si="29"/>
        <v>1.1564411444</v>
      </c>
      <c r="S82" s="60">
        <f t="shared" si="30"/>
        <v>1.1585077940000001</v>
      </c>
      <c r="T82" s="61">
        <f t="shared" si="31"/>
        <v>1.1584394912</v>
      </c>
      <c r="U82" s="60">
        <f t="shared" si="32"/>
        <v>1.1605097120000001</v>
      </c>
      <c r="V82" s="61">
        <f t="shared" si="33"/>
        <v>1.1563551940000003</v>
      </c>
      <c r="W82" s="60">
        <f t="shared" si="34"/>
        <v>1.1611987439999998</v>
      </c>
      <c r="X82" s="61">
        <f t="shared" si="35"/>
        <v>1.1632053119999999</v>
      </c>
      <c r="Y82" s="60">
        <f t="shared" si="36"/>
        <v>1.1590411440000001</v>
      </c>
      <c r="Z82" s="61">
        <f t="shared" si="37"/>
        <v>1.1611124400000004</v>
      </c>
    </row>
    <row r="83" spans="2:26" s="1" customFormat="1" x14ac:dyDescent="0.3">
      <c r="B83" s="40">
        <v>45570</v>
      </c>
      <c r="C83" s="54">
        <v>1.0769</v>
      </c>
      <c r="D83" s="55">
        <v>1.0782</v>
      </c>
      <c r="E83" s="54">
        <v>1.079</v>
      </c>
      <c r="F83" s="54">
        <v>1.0760000000000001</v>
      </c>
      <c r="G83" s="82">
        <f t="shared" si="18"/>
        <v>1.07528</v>
      </c>
      <c r="H83" s="58">
        <f t="shared" si="19"/>
        <v>1.0787</v>
      </c>
      <c r="I83" s="59">
        <f t="shared" si="20"/>
        <v>1.0736599999999998</v>
      </c>
      <c r="J83" s="58">
        <f t="shared" si="21"/>
        <v>1.0760800000000001</v>
      </c>
      <c r="K83" s="59">
        <f t="shared" si="22"/>
        <v>1.0769</v>
      </c>
      <c r="L83" s="61">
        <f t="shared" si="23"/>
        <v>1.1562270783999999</v>
      </c>
      <c r="M83" s="60">
        <f t="shared" si="24"/>
        <v>1.1635936899999999</v>
      </c>
      <c r="N83" s="61">
        <f t="shared" si="25"/>
        <v>1.1527457955999996</v>
      </c>
      <c r="O83" s="60">
        <f t="shared" si="26"/>
        <v>1.1579481664000004</v>
      </c>
      <c r="P83" s="61">
        <f t="shared" si="27"/>
        <v>1.1597136099999998</v>
      </c>
      <c r="Q83" s="60">
        <f t="shared" si="28"/>
        <v>1.159904536</v>
      </c>
      <c r="R83" s="61">
        <f t="shared" si="29"/>
        <v>1.1544851247999999</v>
      </c>
      <c r="S83" s="60">
        <f t="shared" si="30"/>
        <v>1.1570873024000001</v>
      </c>
      <c r="T83" s="61">
        <f t="shared" si="31"/>
        <v>1.1581570419999998</v>
      </c>
      <c r="U83" s="60">
        <f t="shared" si="32"/>
        <v>1.1607674960000001</v>
      </c>
      <c r="V83" s="61">
        <f t="shared" si="33"/>
        <v>1.1553440528000001</v>
      </c>
      <c r="W83" s="60">
        <f t="shared" si="34"/>
        <v>1.157969032</v>
      </c>
      <c r="X83" s="61">
        <f t="shared" si="35"/>
        <v>1.1616520299999999</v>
      </c>
      <c r="Y83" s="60">
        <f t="shared" si="36"/>
        <v>1.1562244539999997</v>
      </c>
      <c r="Z83" s="61">
        <f t="shared" si="37"/>
        <v>1.1588305520000002</v>
      </c>
    </row>
    <row r="84" spans="2:26" s="1" customFormat="1" x14ac:dyDescent="0.3">
      <c r="B84" s="40">
        <v>45540</v>
      </c>
      <c r="C84" s="54">
        <v>1.0781000000000001</v>
      </c>
      <c r="D84" s="55">
        <v>1.0750999999999999</v>
      </c>
      <c r="E84" s="54">
        <v>1.0785</v>
      </c>
      <c r="F84" s="54">
        <v>1.0724</v>
      </c>
      <c r="G84" s="82">
        <f t="shared" si="18"/>
        <v>1.0744800000000001</v>
      </c>
      <c r="H84" s="58">
        <f t="shared" si="19"/>
        <v>1.07762</v>
      </c>
      <c r="I84" s="59">
        <f t="shared" si="20"/>
        <v>1.0726599999999999</v>
      </c>
      <c r="J84" s="58">
        <f t="shared" si="21"/>
        <v>1.0749600000000001</v>
      </c>
      <c r="K84" s="59">
        <f t="shared" si="22"/>
        <v>1.0781000000000001</v>
      </c>
      <c r="L84" s="61">
        <f t="shared" si="23"/>
        <v>1.1545072704000001</v>
      </c>
      <c r="M84" s="60">
        <f t="shared" si="24"/>
        <v>1.1612648644000001</v>
      </c>
      <c r="N84" s="61">
        <f t="shared" si="25"/>
        <v>1.1505994756</v>
      </c>
      <c r="O84" s="60">
        <f t="shared" si="26"/>
        <v>1.1555390016000002</v>
      </c>
      <c r="P84" s="61">
        <f t="shared" si="27"/>
        <v>1.16229961</v>
      </c>
      <c r="Q84" s="60">
        <f t="shared" si="28"/>
        <v>1.1578811376000002</v>
      </c>
      <c r="R84" s="61">
        <f t="shared" si="29"/>
        <v>1.1525517168000001</v>
      </c>
      <c r="S84" s="60">
        <f t="shared" si="30"/>
        <v>1.1550230208000003</v>
      </c>
      <c r="T84" s="61">
        <f t="shared" si="31"/>
        <v>1.1559198691999999</v>
      </c>
      <c r="U84" s="60">
        <f t="shared" si="32"/>
        <v>1.1583983952000001</v>
      </c>
      <c r="V84" s="61">
        <f t="shared" si="33"/>
        <v>1.1530665936000002</v>
      </c>
      <c r="W84" s="60">
        <f t="shared" si="34"/>
        <v>1.1583968880000002</v>
      </c>
      <c r="X84" s="61">
        <f t="shared" si="35"/>
        <v>1.1617821220000002</v>
      </c>
      <c r="Y84" s="60">
        <f t="shared" si="36"/>
        <v>1.156434746</v>
      </c>
      <c r="Z84" s="61">
        <f t="shared" si="37"/>
        <v>1.1589143760000002</v>
      </c>
    </row>
    <row r="85" spans="2:26" s="1" customFormat="1" x14ac:dyDescent="0.3">
      <c r="B85" s="40">
        <v>45509</v>
      </c>
      <c r="C85" s="54">
        <v>1.0745</v>
      </c>
      <c r="D85" s="55">
        <v>1.0753999999999999</v>
      </c>
      <c r="E85" s="54">
        <v>1.0758000000000001</v>
      </c>
      <c r="F85" s="54">
        <v>1.0733999999999999</v>
      </c>
      <c r="G85" s="82">
        <f t="shared" si="18"/>
        <v>1.0726800000000001</v>
      </c>
      <c r="H85" s="58">
        <f t="shared" si="19"/>
        <v>1.0771199999999999</v>
      </c>
      <c r="I85" s="59">
        <f t="shared" si="20"/>
        <v>1.0709599999999999</v>
      </c>
      <c r="J85" s="58">
        <f t="shared" si="21"/>
        <v>1.0742400000000001</v>
      </c>
      <c r="K85" s="59">
        <f t="shared" si="22"/>
        <v>1.0745</v>
      </c>
      <c r="L85" s="61">
        <f t="shared" si="23"/>
        <v>1.1506423824000003</v>
      </c>
      <c r="M85" s="60">
        <f t="shared" si="24"/>
        <v>1.1601874943999997</v>
      </c>
      <c r="N85" s="61">
        <f t="shared" si="25"/>
        <v>1.1469553215999999</v>
      </c>
      <c r="O85" s="60">
        <f t="shared" si="26"/>
        <v>1.1539915776000003</v>
      </c>
      <c r="P85" s="61">
        <f t="shared" si="27"/>
        <v>1.15455025</v>
      </c>
      <c r="Q85" s="60">
        <f t="shared" si="28"/>
        <v>1.1554050815999999</v>
      </c>
      <c r="R85" s="61">
        <f t="shared" si="29"/>
        <v>1.1487973728</v>
      </c>
      <c r="S85" s="60">
        <f t="shared" si="30"/>
        <v>1.1523157632000001</v>
      </c>
      <c r="T85" s="61">
        <f t="shared" si="31"/>
        <v>1.1535524351999997</v>
      </c>
      <c r="U85" s="60">
        <f t="shared" si="32"/>
        <v>1.1570853887999999</v>
      </c>
      <c r="V85" s="61">
        <f t="shared" si="33"/>
        <v>1.1504680704000001</v>
      </c>
      <c r="W85" s="60">
        <f t="shared" si="34"/>
        <v>1.1525946600000001</v>
      </c>
      <c r="X85" s="61">
        <f t="shared" si="35"/>
        <v>1.1573654399999997</v>
      </c>
      <c r="Y85" s="60">
        <f t="shared" si="36"/>
        <v>1.15074652</v>
      </c>
      <c r="Z85" s="61">
        <f t="shared" si="37"/>
        <v>1.1542708800000001</v>
      </c>
    </row>
    <row r="86" spans="2:26" s="1" customFormat="1" x14ac:dyDescent="0.3">
      <c r="B86" s="40">
        <v>45478</v>
      </c>
      <c r="C86" s="54">
        <v>1.0751999999999999</v>
      </c>
      <c r="D86" s="55">
        <v>1.077</v>
      </c>
      <c r="E86" s="54">
        <v>1.0788</v>
      </c>
      <c r="F86" s="54">
        <v>1.0747</v>
      </c>
      <c r="G86" s="82">
        <f t="shared" si="18"/>
        <v>1.07176</v>
      </c>
      <c r="H86" s="58">
        <f t="shared" si="19"/>
        <v>1.0760799999999999</v>
      </c>
      <c r="I86" s="59">
        <f t="shared" si="20"/>
        <v>1.0692999999999999</v>
      </c>
      <c r="J86" s="58">
        <f t="shared" si="21"/>
        <v>1.0725000000000002</v>
      </c>
      <c r="K86" s="59">
        <f t="shared" si="22"/>
        <v>1.0751999999999999</v>
      </c>
      <c r="L86" s="61">
        <f t="shared" si="23"/>
        <v>1.1486694976</v>
      </c>
      <c r="M86" s="60">
        <f t="shared" si="24"/>
        <v>1.1579481663999998</v>
      </c>
      <c r="N86" s="61">
        <f t="shared" si="25"/>
        <v>1.1434024899999997</v>
      </c>
      <c r="O86" s="60">
        <f t="shared" si="26"/>
        <v>1.1502562500000004</v>
      </c>
      <c r="P86" s="61">
        <f t="shared" si="27"/>
        <v>1.1560550399999998</v>
      </c>
      <c r="Q86" s="60">
        <f t="shared" si="28"/>
        <v>1.1532995008</v>
      </c>
      <c r="R86" s="61">
        <f t="shared" si="29"/>
        <v>1.1460329679999999</v>
      </c>
      <c r="S86" s="60">
        <f t="shared" si="30"/>
        <v>1.1494626000000003</v>
      </c>
      <c r="T86" s="61">
        <f t="shared" si="31"/>
        <v>1.1506523439999998</v>
      </c>
      <c r="U86" s="60">
        <f t="shared" si="32"/>
        <v>1.1540958000000001</v>
      </c>
      <c r="V86" s="61">
        <f t="shared" si="33"/>
        <v>1.1468242500000001</v>
      </c>
      <c r="W86" s="60">
        <f t="shared" si="34"/>
        <v>1.152356352</v>
      </c>
      <c r="X86" s="61">
        <f t="shared" si="35"/>
        <v>1.1570012159999998</v>
      </c>
      <c r="Y86" s="60">
        <f t="shared" si="36"/>
        <v>1.1497113599999997</v>
      </c>
      <c r="Z86" s="61">
        <f t="shared" si="37"/>
        <v>1.1531520000000002</v>
      </c>
    </row>
    <row r="87" spans="2:26" s="1" customFormat="1" x14ac:dyDescent="0.3">
      <c r="B87" s="40">
        <v>45448</v>
      </c>
      <c r="C87" s="54">
        <v>1.0768</v>
      </c>
      <c r="D87" s="55">
        <v>1.0762</v>
      </c>
      <c r="E87" s="54">
        <v>1.0790999999999999</v>
      </c>
      <c r="F87" s="54">
        <v>1.0753999999999999</v>
      </c>
      <c r="G87" s="82">
        <f t="shared" si="18"/>
        <v>1.0704199999999999</v>
      </c>
      <c r="H87" s="58">
        <f t="shared" si="19"/>
        <v>1.0749399999999998</v>
      </c>
      <c r="I87" s="59">
        <f t="shared" si="20"/>
        <v>1.06802</v>
      </c>
      <c r="J87" s="58">
        <f t="shared" si="21"/>
        <v>1.07152</v>
      </c>
      <c r="K87" s="59">
        <f t="shared" si="22"/>
        <v>1.0768</v>
      </c>
      <c r="L87" s="61">
        <f t="shared" si="23"/>
        <v>1.1457989763999998</v>
      </c>
      <c r="M87" s="60">
        <f t="shared" si="24"/>
        <v>1.1554960035999995</v>
      </c>
      <c r="N87" s="61">
        <f t="shared" si="25"/>
        <v>1.1406667203999998</v>
      </c>
      <c r="O87" s="60">
        <f t="shared" si="26"/>
        <v>1.1481551104000001</v>
      </c>
      <c r="P87" s="61">
        <f t="shared" si="27"/>
        <v>1.15949824</v>
      </c>
      <c r="Q87" s="60">
        <f t="shared" si="28"/>
        <v>1.1506372747999998</v>
      </c>
      <c r="R87" s="61">
        <f t="shared" si="29"/>
        <v>1.1432299683999998</v>
      </c>
      <c r="S87" s="60">
        <f t="shared" si="30"/>
        <v>1.1469764383999999</v>
      </c>
      <c r="T87" s="61">
        <f t="shared" si="31"/>
        <v>1.1480574187999997</v>
      </c>
      <c r="U87" s="60">
        <f t="shared" si="32"/>
        <v>1.1518197087999997</v>
      </c>
      <c r="V87" s="61">
        <f t="shared" si="33"/>
        <v>1.1444047904000001</v>
      </c>
      <c r="W87" s="60">
        <f t="shared" si="34"/>
        <v>1.1526282559999999</v>
      </c>
      <c r="X87" s="61">
        <f t="shared" si="35"/>
        <v>1.1574953919999997</v>
      </c>
      <c r="Y87" s="60">
        <f t="shared" si="36"/>
        <v>1.1500439359999999</v>
      </c>
      <c r="Z87" s="61">
        <f t="shared" si="37"/>
        <v>1.1538127360000001</v>
      </c>
    </row>
    <row r="88" spans="2:26" s="1" customFormat="1" x14ac:dyDescent="0.3">
      <c r="B88" s="40">
        <v>45356</v>
      </c>
      <c r="C88" s="54">
        <v>1.0758000000000001</v>
      </c>
      <c r="D88" s="55">
        <v>1.0727</v>
      </c>
      <c r="E88" s="54">
        <v>1.0812999999999999</v>
      </c>
      <c r="F88" s="54">
        <v>1.0724</v>
      </c>
      <c r="G88" s="82">
        <f t="shared" si="18"/>
        <v>1.0705199999999999</v>
      </c>
      <c r="H88" s="58">
        <f t="shared" si="19"/>
        <v>1.07376</v>
      </c>
      <c r="I88" s="59">
        <f t="shared" si="20"/>
        <v>1.0670199999999999</v>
      </c>
      <c r="J88" s="58">
        <f t="shared" si="21"/>
        <v>1.0701999999999998</v>
      </c>
      <c r="K88" s="59">
        <f t="shared" si="22"/>
        <v>1.0758000000000001</v>
      </c>
      <c r="L88" s="61">
        <f t="shared" si="23"/>
        <v>1.1460130703999998</v>
      </c>
      <c r="M88" s="60">
        <f t="shared" si="24"/>
        <v>1.1529605376000001</v>
      </c>
      <c r="N88" s="61">
        <f t="shared" si="25"/>
        <v>1.1385316803999996</v>
      </c>
      <c r="O88" s="60">
        <f t="shared" si="26"/>
        <v>1.1453280399999997</v>
      </c>
      <c r="P88" s="61">
        <f t="shared" si="27"/>
        <v>1.1573456400000002</v>
      </c>
      <c r="Q88" s="60">
        <f t="shared" si="28"/>
        <v>1.1494815551999999</v>
      </c>
      <c r="R88" s="61">
        <f t="shared" si="29"/>
        <v>1.1422662503999998</v>
      </c>
      <c r="S88" s="60">
        <f t="shared" si="30"/>
        <v>1.1456705039999997</v>
      </c>
      <c r="T88" s="61">
        <f t="shared" si="31"/>
        <v>1.1457233951999999</v>
      </c>
      <c r="U88" s="60">
        <f t="shared" si="32"/>
        <v>1.1491379519999998</v>
      </c>
      <c r="V88" s="61">
        <f t="shared" si="33"/>
        <v>1.1419248039999996</v>
      </c>
      <c r="W88" s="60">
        <f t="shared" si="34"/>
        <v>1.1516654159999999</v>
      </c>
      <c r="X88" s="61">
        <f t="shared" si="35"/>
        <v>1.1551510080000003</v>
      </c>
      <c r="Y88" s="60">
        <f t="shared" si="36"/>
        <v>1.147900116</v>
      </c>
      <c r="Z88" s="61">
        <f t="shared" si="37"/>
        <v>1.15132116</v>
      </c>
    </row>
    <row r="89" spans="2:26" x14ac:dyDescent="0.3">
      <c r="B89" s="40">
        <v>45327</v>
      </c>
      <c r="C89" s="54">
        <v>1.0725</v>
      </c>
      <c r="D89" s="55">
        <v>1.0710999999999999</v>
      </c>
      <c r="E89" s="54">
        <v>1.0730999999999999</v>
      </c>
      <c r="F89" s="54">
        <v>1.0673999999999999</v>
      </c>
      <c r="G89" s="82">
        <f t="shared" si="18"/>
        <v>1.0702799999999999</v>
      </c>
      <c r="H89" s="58">
        <f t="shared" si="19"/>
        <v>1.0739399999999999</v>
      </c>
      <c r="I89" s="59">
        <f t="shared" si="20"/>
        <v>1.0670999999999999</v>
      </c>
      <c r="J89" s="58">
        <f t="shared" si="21"/>
        <v>1.0702799999999999</v>
      </c>
      <c r="K89" s="59">
        <f t="shared" si="22"/>
        <v>1.0725</v>
      </c>
      <c r="L89" s="61">
        <f t="shared" si="23"/>
        <v>1.1454992783999998</v>
      </c>
      <c r="M89" s="60">
        <f t="shared" si="24"/>
        <v>1.1533471235999997</v>
      </c>
      <c r="N89" s="61">
        <f t="shared" si="25"/>
        <v>1.1387024099999998</v>
      </c>
      <c r="O89" s="60">
        <f t="shared" si="26"/>
        <v>1.1454992783999998</v>
      </c>
      <c r="P89" s="61">
        <f t="shared" si="27"/>
        <v>1.15025625</v>
      </c>
      <c r="Q89" s="60">
        <f t="shared" si="28"/>
        <v>1.1494165031999999</v>
      </c>
      <c r="R89" s="61">
        <f t="shared" si="29"/>
        <v>1.1420957879999998</v>
      </c>
      <c r="S89" s="60">
        <f t="shared" si="30"/>
        <v>1.1454992783999998</v>
      </c>
      <c r="T89" s="61">
        <f t="shared" si="31"/>
        <v>1.1460013739999999</v>
      </c>
      <c r="U89" s="60">
        <f t="shared" si="32"/>
        <v>1.1494165031999999</v>
      </c>
      <c r="V89" s="61">
        <f t="shared" si="33"/>
        <v>1.1420957879999998</v>
      </c>
      <c r="W89" s="60">
        <f t="shared" si="34"/>
        <v>1.1478752999999999</v>
      </c>
      <c r="X89" s="61">
        <f t="shared" si="35"/>
        <v>1.15180065</v>
      </c>
      <c r="Y89" s="60">
        <f t="shared" si="36"/>
        <v>1.14446475</v>
      </c>
      <c r="Z89" s="61">
        <f t="shared" si="37"/>
        <v>1.1478752999999999</v>
      </c>
    </row>
    <row r="90" spans="2:26" x14ac:dyDescent="0.3">
      <c r="B90" s="40">
        <v>45296</v>
      </c>
      <c r="C90" s="54">
        <v>1.0709</v>
      </c>
      <c r="D90" s="55">
        <v>1.0664</v>
      </c>
      <c r="E90" s="54">
        <v>1.0732999999999999</v>
      </c>
      <c r="F90" s="54">
        <v>1.0649</v>
      </c>
      <c r="G90" s="82">
        <f t="shared" si="18"/>
        <v>1.0710599999999999</v>
      </c>
      <c r="H90" s="58">
        <f t="shared" si="19"/>
        <v>1.0735800000000002</v>
      </c>
      <c r="I90" s="59">
        <f t="shared" si="20"/>
        <v>1.0676600000000001</v>
      </c>
      <c r="J90" s="58">
        <f t="shared" si="21"/>
        <v>1.0700400000000001</v>
      </c>
      <c r="K90" s="59">
        <f t="shared" si="22"/>
        <v>1.0709</v>
      </c>
      <c r="L90" s="61">
        <f t="shared" si="23"/>
        <v>1.1471695235999997</v>
      </c>
      <c r="M90" s="60">
        <f t="shared" si="24"/>
        <v>1.1525740164000005</v>
      </c>
      <c r="N90" s="61">
        <f t="shared" si="25"/>
        <v>1.1398978756000002</v>
      </c>
      <c r="O90" s="60">
        <f t="shared" si="26"/>
        <v>1.1449856016000002</v>
      </c>
      <c r="P90" s="61">
        <f t="shared" si="27"/>
        <v>1.1468268099999999</v>
      </c>
      <c r="Q90" s="60">
        <f t="shared" si="28"/>
        <v>1.1498685948</v>
      </c>
      <c r="R90" s="61">
        <f t="shared" si="29"/>
        <v>1.1435279195999999</v>
      </c>
      <c r="S90" s="60">
        <f t="shared" si="30"/>
        <v>1.1460770424</v>
      </c>
      <c r="T90" s="61">
        <f t="shared" si="31"/>
        <v>1.1462184228000003</v>
      </c>
      <c r="U90" s="60">
        <f t="shared" si="32"/>
        <v>1.1487735432000004</v>
      </c>
      <c r="V90" s="61">
        <f t="shared" si="33"/>
        <v>1.1424389064000002</v>
      </c>
      <c r="W90" s="60">
        <f t="shared" si="34"/>
        <v>1.1469981539999998</v>
      </c>
      <c r="X90" s="61">
        <f t="shared" si="35"/>
        <v>1.1496968220000001</v>
      </c>
      <c r="Y90" s="60">
        <f t="shared" si="36"/>
        <v>1.143357094</v>
      </c>
      <c r="Z90" s="61">
        <f t="shared" si="37"/>
        <v>1.1459058360000001</v>
      </c>
    </row>
    <row r="91" spans="2:26" x14ac:dyDescent="0.3">
      <c r="B91" s="9" t="s">
        <v>106</v>
      </c>
      <c r="C91" s="54">
        <v>1.0665</v>
      </c>
      <c r="D91" s="55">
        <v>1.0724</v>
      </c>
      <c r="E91" s="54">
        <v>1.0736000000000001</v>
      </c>
      <c r="F91" s="54">
        <v>1.0664</v>
      </c>
      <c r="G91" s="82">
        <f t="shared" si="18"/>
        <v>1.06968</v>
      </c>
      <c r="H91" s="58">
        <f t="shared" si="19"/>
        <v>1.0730999999999999</v>
      </c>
      <c r="I91" s="59">
        <f t="shared" si="20"/>
        <v>1.0671400000000002</v>
      </c>
      <c r="J91" s="58">
        <f t="shared" si="21"/>
        <v>1.0707200000000001</v>
      </c>
      <c r="K91" s="59">
        <f t="shared" si="22"/>
        <v>1.0665</v>
      </c>
      <c r="L91" s="61">
        <f t="shared" si="23"/>
        <v>1.1442153023999999</v>
      </c>
      <c r="M91" s="60">
        <f t="shared" si="24"/>
        <v>1.1515436099999998</v>
      </c>
      <c r="N91" s="61">
        <f t="shared" si="25"/>
        <v>1.1387877796000003</v>
      </c>
      <c r="O91" s="60">
        <f t="shared" si="26"/>
        <v>1.1464413184000002</v>
      </c>
      <c r="P91" s="61">
        <f t="shared" si="27"/>
        <v>1.13742225</v>
      </c>
      <c r="Q91" s="60">
        <f t="shared" si="28"/>
        <v>1.1478736079999998</v>
      </c>
      <c r="R91" s="61">
        <f t="shared" si="29"/>
        <v>1.1414983152000002</v>
      </c>
      <c r="S91" s="60">
        <f t="shared" si="30"/>
        <v>1.1453277696000002</v>
      </c>
      <c r="T91" s="61">
        <f t="shared" si="31"/>
        <v>1.1451479340000001</v>
      </c>
      <c r="U91" s="60">
        <f t="shared" si="32"/>
        <v>1.1489896320000001</v>
      </c>
      <c r="V91" s="61">
        <f t="shared" si="33"/>
        <v>1.1426081408000004</v>
      </c>
      <c r="W91" s="60">
        <f t="shared" si="34"/>
        <v>1.1408137199999999</v>
      </c>
      <c r="X91" s="61">
        <f t="shared" si="35"/>
        <v>1.1444611499999999</v>
      </c>
      <c r="Y91" s="60">
        <f t="shared" si="36"/>
        <v>1.1381048100000002</v>
      </c>
      <c r="Z91" s="61">
        <f t="shared" si="37"/>
        <v>1.1419228800000001</v>
      </c>
    </row>
    <row r="92" spans="2:26" x14ac:dyDescent="0.3">
      <c r="B92" s="9" t="s">
        <v>107</v>
      </c>
      <c r="C92" s="54">
        <v>1.0719000000000001</v>
      </c>
      <c r="D92" s="55">
        <v>1.0694999999999999</v>
      </c>
      <c r="E92" s="54">
        <v>1.0733999999999999</v>
      </c>
      <c r="F92" s="54">
        <v>1.069</v>
      </c>
      <c r="G92" s="82">
        <f t="shared" si="18"/>
        <v>1.0689</v>
      </c>
      <c r="H92" s="58">
        <f t="shared" si="19"/>
        <v>1.0718399999999999</v>
      </c>
      <c r="I92" s="59">
        <f t="shared" si="20"/>
        <v>1.0658000000000001</v>
      </c>
      <c r="J92" s="58">
        <f t="shared" si="21"/>
        <v>1.0694200000000003</v>
      </c>
      <c r="K92" s="59">
        <f t="shared" si="22"/>
        <v>1.0719000000000001</v>
      </c>
      <c r="L92" s="61">
        <f t="shared" si="23"/>
        <v>1.1425472099999998</v>
      </c>
      <c r="M92" s="60">
        <f t="shared" si="24"/>
        <v>1.1488409855999997</v>
      </c>
      <c r="N92" s="61">
        <f t="shared" si="25"/>
        <v>1.1359296400000001</v>
      </c>
      <c r="O92" s="60">
        <f t="shared" si="26"/>
        <v>1.1436591364000006</v>
      </c>
      <c r="P92" s="61">
        <f t="shared" si="27"/>
        <v>1.1489696100000002</v>
      </c>
      <c r="Q92" s="60">
        <f t="shared" si="28"/>
        <v>1.1456897759999998</v>
      </c>
      <c r="R92" s="61">
        <f t="shared" si="29"/>
        <v>1.1392336199999999</v>
      </c>
      <c r="S92" s="60">
        <f t="shared" si="30"/>
        <v>1.1431030380000002</v>
      </c>
      <c r="T92" s="61">
        <f t="shared" si="31"/>
        <v>1.1423670720000001</v>
      </c>
      <c r="U92" s="60">
        <f t="shared" si="32"/>
        <v>1.1462471328000001</v>
      </c>
      <c r="V92" s="61">
        <f t="shared" si="33"/>
        <v>1.1397878360000004</v>
      </c>
      <c r="W92" s="60">
        <f t="shared" si="34"/>
        <v>1.14575391</v>
      </c>
      <c r="X92" s="61">
        <f t="shared" si="35"/>
        <v>1.1489052959999999</v>
      </c>
      <c r="Y92" s="60">
        <f t="shared" si="36"/>
        <v>1.1424310200000001</v>
      </c>
      <c r="Z92" s="61">
        <f t="shared" si="37"/>
        <v>1.1463112980000003</v>
      </c>
    </row>
    <row r="93" spans="2:26" x14ac:dyDescent="0.3">
      <c r="B93" s="9" t="s">
        <v>108</v>
      </c>
      <c r="C93" s="54">
        <v>1.0691999999999999</v>
      </c>
      <c r="D93" s="55">
        <v>1.0731999999999999</v>
      </c>
      <c r="E93" s="54">
        <v>1.0753999999999999</v>
      </c>
      <c r="F93" s="54">
        <v>1.0673999999999999</v>
      </c>
      <c r="G93" s="82">
        <f t="shared" si="18"/>
        <v>1.0671599999999999</v>
      </c>
      <c r="H93" s="58">
        <f t="shared" si="19"/>
        <v>1.0703200000000002</v>
      </c>
      <c r="I93" s="59">
        <f t="shared" si="20"/>
        <v>1.0645200000000001</v>
      </c>
      <c r="J93" s="58">
        <f t="shared" si="21"/>
        <v>1.0686599999999999</v>
      </c>
      <c r="K93" s="59">
        <f t="shared" si="22"/>
        <v>1.0691999999999999</v>
      </c>
      <c r="L93" s="61">
        <f t="shared" si="23"/>
        <v>1.1388304655999997</v>
      </c>
      <c r="M93" s="60">
        <f t="shared" si="24"/>
        <v>1.1455849024000004</v>
      </c>
      <c r="N93" s="61">
        <f t="shared" si="25"/>
        <v>1.1332028304000004</v>
      </c>
      <c r="O93" s="60">
        <f t="shared" si="26"/>
        <v>1.1420341956</v>
      </c>
      <c r="P93" s="61">
        <f t="shared" si="27"/>
        <v>1.1431886399999998</v>
      </c>
      <c r="Q93" s="60">
        <f t="shared" si="28"/>
        <v>1.1422026912000001</v>
      </c>
      <c r="R93" s="61">
        <f t="shared" si="29"/>
        <v>1.1360131632000001</v>
      </c>
      <c r="S93" s="60">
        <f t="shared" si="30"/>
        <v>1.1404312055999999</v>
      </c>
      <c r="T93" s="61">
        <f t="shared" si="31"/>
        <v>1.1393770464000004</v>
      </c>
      <c r="U93" s="60">
        <f t="shared" si="32"/>
        <v>1.1438081712000001</v>
      </c>
      <c r="V93" s="61">
        <f t="shared" si="33"/>
        <v>1.1376099432</v>
      </c>
      <c r="W93" s="60">
        <f t="shared" si="34"/>
        <v>1.1410074719999999</v>
      </c>
      <c r="X93" s="61">
        <f t="shared" si="35"/>
        <v>1.144386144</v>
      </c>
      <c r="Y93" s="60">
        <f t="shared" si="36"/>
        <v>1.1381847840000001</v>
      </c>
      <c r="Z93" s="61">
        <f t="shared" si="37"/>
        <v>1.1426112719999999</v>
      </c>
    </row>
    <row r="94" spans="2:26" x14ac:dyDescent="0.3">
      <c r="B94" s="9" t="s">
        <v>109</v>
      </c>
      <c r="C94" s="54">
        <v>1.0729</v>
      </c>
      <c r="D94" s="55">
        <v>1.0699000000000001</v>
      </c>
      <c r="E94" s="54">
        <v>1.0740000000000001</v>
      </c>
      <c r="F94" s="54">
        <v>1.0678000000000001</v>
      </c>
      <c r="G94" s="82">
        <f t="shared" si="18"/>
        <v>1.0666199999999999</v>
      </c>
      <c r="H94" s="58">
        <f t="shared" si="19"/>
        <v>1.0693199999999998</v>
      </c>
      <c r="I94" s="59">
        <f t="shared" si="20"/>
        <v>1.0637799999999999</v>
      </c>
      <c r="J94" s="58">
        <f t="shared" si="21"/>
        <v>1.0669400000000002</v>
      </c>
      <c r="K94" s="59">
        <f t="shared" si="22"/>
        <v>1.0729</v>
      </c>
      <c r="L94" s="61">
        <f t="shared" si="23"/>
        <v>1.1376782243999999</v>
      </c>
      <c r="M94" s="60">
        <f t="shared" si="24"/>
        <v>1.1434452623999996</v>
      </c>
      <c r="N94" s="61">
        <f t="shared" si="25"/>
        <v>1.1316278883999999</v>
      </c>
      <c r="O94" s="60">
        <f t="shared" si="26"/>
        <v>1.1383609636000005</v>
      </c>
      <c r="P94" s="61">
        <f t="shared" si="27"/>
        <v>1.1511144099999999</v>
      </c>
      <c r="Q94" s="60">
        <f t="shared" si="28"/>
        <v>1.1405580983999997</v>
      </c>
      <c r="R94" s="61">
        <f t="shared" si="29"/>
        <v>1.1346490235999998</v>
      </c>
      <c r="S94" s="60">
        <f t="shared" si="30"/>
        <v>1.1380195428000002</v>
      </c>
      <c r="T94" s="61">
        <f t="shared" si="31"/>
        <v>1.1375212295999997</v>
      </c>
      <c r="U94" s="60">
        <f t="shared" si="32"/>
        <v>1.1409002807999999</v>
      </c>
      <c r="V94" s="61">
        <f t="shared" si="33"/>
        <v>1.1349894332000001</v>
      </c>
      <c r="W94" s="60">
        <f t="shared" si="34"/>
        <v>1.1443765979999998</v>
      </c>
      <c r="X94" s="61">
        <f t="shared" si="35"/>
        <v>1.1472734279999999</v>
      </c>
      <c r="Y94" s="60">
        <f t="shared" si="36"/>
        <v>1.1413295619999999</v>
      </c>
      <c r="Z94" s="61">
        <f t="shared" si="37"/>
        <v>1.1447199260000003</v>
      </c>
    </row>
    <row r="95" spans="2:26" x14ac:dyDescent="0.3">
      <c r="B95" s="9" t="s">
        <v>110</v>
      </c>
      <c r="C95" s="54">
        <v>1.0697000000000001</v>
      </c>
      <c r="D95" s="55">
        <v>1.0703</v>
      </c>
      <c r="E95" s="54">
        <v>1.0714999999999999</v>
      </c>
      <c r="F95" s="54">
        <v>1.0677000000000001</v>
      </c>
      <c r="G95" s="82">
        <f t="shared" si="18"/>
        <v>1.06494</v>
      </c>
      <c r="H95" s="58">
        <f t="shared" si="19"/>
        <v>1.0686199999999999</v>
      </c>
      <c r="I95" s="59">
        <f t="shared" si="20"/>
        <v>1.0623400000000001</v>
      </c>
      <c r="J95" s="58">
        <f t="shared" si="21"/>
        <v>1.0664199999999999</v>
      </c>
      <c r="K95" s="59">
        <f t="shared" si="22"/>
        <v>1.0697000000000001</v>
      </c>
      <c r="L95" s="61">
        <f t="shared" si="23"/>
        <v>1.1340972036000001</v>
      </c>
      <c r="M95" s="60">
        <f t="shared" si="24"/>
        <v>1.1419487043999998</v>
      </c>
      <c r="N95" s="61">
        <f t="shared" si="25"/>
        <v>1.1285662756000001</v>
      </c>
      <c r="O95" s="60">
        <f t="shared" si="26"/>
        <v>1.1372516163999999</v>
      </c>
      <c r="P95" s="61">
        <f t="shared" si="27"/>
        <v>1.1442580900000001</v>
      </c>
      <c r="Q95" s="60">
        <f t="shared" si="28"/>
        <v>1.1380161827999999</v>
      </c>
      <c r="R95" s="61">
        <f t="shared" si="29"/>
        <v>1.1313283596000001</v>
      </c>
      <c r="S95" s="60">
        <f t="shared" si="30"/>
        <v>1.1356733148</v>
      </c>
      <c r="T95" s="61">
        <f t="shared" si="31"/>
        <v>1.1352377707999999</v>
      </c>
      <c r="U95" s="60">
        <f t="shared" si="32"/>
        <v>1.1395977403999997</v>
      </c>
      <c r="V95" s="61">
        <f t="shared" si="33"/>
        <v>1.1329006228</v>
      </c>
      <c r="W95" s="60">
        <f t="shared" si="34"/>
        <v>1.139166318</v>
      </c>
      <c r="X95" s="61">
        <f t="shared" si="35"/>
        <v>1.1431028139999999</v>
      </c>
      <c r="Y95" s="60">
        <f t="shared" si="36"/>
        <v>1.1363850980000001</v>
      </c>
      <c r="Z95" s="61">
        <f t="shared" si="37"/>
        <v>1.1407494739999999</v>
      </c>
    </row>
    <row r="96" spans="2:26" x14ac:dyDescent="0.3">
      <c r="B96" s="9" t="s">
        <v>111</v>
      </c>
      <c r="C96" s="54">
        <v>1.0699000000000001</v>
      </c>
      <c r="D96" s="55">
        <v>1.0654999999999999</v>
      </c>
      <c r="E96" s="54">
        <v>1.0711999999999999</v>
      </c>
      <c r="F96" s="54">
        <v>1.0638000000000001</v>
      </c>
      <c r="G96" s="82">
        <f t="shared" si="18"/>
        <v>1.0643199999999999</v>
      </c>
      <c r="H96" s="58">
        <f t="shared" si="19"/>
        <v>1.0674600000000001</v>
      </c>
      <c r="I96" s="59">
        <f t="shared" si="20"/>
        <v>1.0616000000000001</v>
      </c>
      <c r="J96" s="58">
        <f t="shared" si="21"/>
        <v>1.0647800000000001</v>
      </c>
      <c r="K96" s="59">
        <f t="shared" si="22"/>
        <v>1.0699000000000001</v>
      </c>
      <c r="L96" s="61">
        <f t="shared" si="23"/>
        <v>1.1327770623999998</v>
      </c>
      <c r="M96" s="60">
        <f t="shared" si="24"/>
        <v>1.1394708516000001</v>
      </c>
      <c r="N96" s="61">
        <f t="shared" si="25"/>
        <v>1.1269945600000002</v>
      </c>
      <c r="O96" s="60">
        <f t="shared" si="26"/>
        <v>1.1337564484000002</v>
      </c>
      <c r="P96" s="61">
        <f t="shared" si="27"/>
        <v>1.1446860100000003</v>
      </c>
      <c r="Q96" s="60">
        <f t="shared" si="28"/>
        <v>1.1361190271999999</v>
      </c>
      <c r="R96" s="61">
        <f t="shared" si="29"/>
        <v>1.129882112</v>
      </c>
      <c r="S96" s="60">
        <f t="shared" si="30"/>
        <v>1.1332666495999999</v>
      </c>
      <c r="T96" s="61">
        <f t="shared" si="31"/>
        <v>1.1332155360000002</v>
      </c>
      <c r="U96" s="60">
        <f t="shared" si="32"/>
        <v>1.1366100588000001</v>
      </c>
      <c r="V96" s="61">
        <f t="shared" si="33"/>
        <v>1.1303704480000001</v>
      </c>
      <c r="W96" s="60">
        <f t="shared" si="34"/>
        <v>1.1387159680000001</v>
      </c>
      <c r="X96" s="61">
        <f t="shared" si="35"/>
        <v>1.1420754540000002</v>
      </c>
      <c r="Y96" s="60">
        <f t="shared" si="36"/>
        <v>1.1358058400000002</v>
      </c>
      <c r="Z96" s="61">
        <f t="shared" si="37"/>
        <v>1.1392081220000001</v>
      </c>
    </row>
    <row r="97" spans="2:26" x14ac:dyDescent="0.3">
      <c r="B97" s="9" t="s">
        <v>112</v>
      </c>
      <c r="C97" s="54">
        <v>1.0653999999999999</v>
      </c>
      <c r="D97" s="55">
        <v>1.0656000000000001</v>
      </c>
      <c r="E97" s="54">
        <v>1.0670999999999999</v>
      </c>
      <c r="F97" s="54">
        <v>1.0623</v>
      </c>
      <c r="G97" s="82">
        <f t="shared" si="18"/>
        <v>1.0639400000000001</v>
      </c>
      <c r="H97" s="58">
        <f t="shared" si="19"/>
        <v>1.0673600000000001</v>
      </c>
      <c r="I97" s="59">
        <f t="shared" si="20"/>
        <v>1.0615200000000002</v>
      </c>
      <c r="J97" s="58">
        <f t="shared" si="21"/>
        <v>1.0641399999999999</v>
      </c>
      <c r="K97" s="59">
        <f t="shared" si="22"/>
        <v>1.0653999999999999</v>
      </c>
      <c r="L97" s="61">
        <f t="shared" si="23"/>
        <v>1.1319683236000002</v>
      </c>
      <c r="M97" s="60">
        <f t="shared" si="24"/>
        <v>1.1392573696000001</v>
      </c>
      <c r="N97" s="61">
        <f t="shared" si="25"/>
        <v>1.1268247104000004</v>
      </c>
      <c r="O97" s="60">
        <f t="shared" si="26"/>
        <v>1.1323939395999998</v>
      </c>
      <c r="P97" s="61">
        <f t="shared" si="27"/>
        <v>1.1350771599999998</v>
      </c>
      <c r="Q97" s="60">
        <f t="shared" si="28"/>
        <v>1.1356069984000001</v>
      </c>
      <c r="R97" s="61">
        <f t="shared" si="29"/>
        <v>1.1293935888000004</v>
      </c>
      <c r="S97" s="60">
        <f t="shared" si="30"/>
        <v>1.1321811116</v>
      </c>
      <c r="T97" s="61">
        <f t="shared" si="31"/>
        <v>1.1330239872000003</v>
      </c>
      <c r="U97" s="60">
        <f t="shared" si="32"/>
        <v>1.1358204703999999</v>
      </c>
      <c r="V97" s="61">
        <f t="shared" si="33"/>
        <v>1.1296058928000001</v>
      </c>
      <c r="W97" s="60">
        <f t="shared" si="34"/>
        <v>1.133521676</v>
      </c>
      <c r="X97" s="61">
        <f t="shared" si="35"/>
        <v>1.137165344</v>
      </c>
      <c r="Y97" s="60">
        <f t="shared" si="36"/>
        <v>1.1309434080000003</v>
      </c>
      <c r="Z97" s="61">
        <f t="shared" si="37"/>
        <v>1.1337347559999997</v>
      </c>
    </row>
    <row r="98" spans="2:26" x14ac:dyDescent="0.3">
      <c r="B98" s="9" t="s">
        <v>113</v>
      </c>
      <c r="C98" s="54">
        <v>1.0653999999999999</v>
      </c>
      <c r="D98" s="55">
        <v>1.0645</v>
      </c>
      <c r="E98" s="54">
        <v>1.0678000000000001</v>
      </c>
      <c r="F98" s="54">
        <v>1.0609999999999999</v>
      </c>
      <c r="G98" s="82">
        <f t="shared" si="18"/>
        <v>1.0655600000000001</v>
      </c>
      <c r="H98" s="58">
        <f t="shared" si="19"/>
        <v>1.0684200000000001</v>
      </c>
      <c r="I98" s="59">
        <f t="shared" si="20"/>
        <v>1.06176</v>
      </c>
      <c r="J98" s="58">
        <f t="shared" si="21"/>
        <v>1.0638999999999998</v>
      </c>
      <c r="K98" s="59">
        <f t="shared" si="22"/>
        <v>1.0653999999999999</v>
      </c>
      <c r="L98" s="61">
        <f t="shared" si="23"/>
        <v>1.1354181136000001</v>
      </c>
      <c r="M98" s="60">
        <f t="shared" si="24"/>
        <v>1.1415212964000003</v>
      </c>
      <c r="N98" s="61">
        <f t="shared" si="25"/>
        <v>1.1273342976</v>
      </c>
      <c r="O98" s="60">
        <f t="shared" si="26"/>
        <v>1.1318832099999996</v>
      </c>
      <c r="P98" s="61">
        <f t="shared" si="27"/>
        <v>1.1350771599999998</v>
      </c>
      <c r="Q98" s="60">
        <f t="shared" si="28"/>
        <v>1.1384656152000001</v>
      </c>
      <c r="R98" s="61">
        <f t="shared" si="29"/>
        <v>1.1313689856000002</v>
      </c>
      <c r="S98" s="60">
        <f t="shared" si="30"/>
        <v>1.1336492839999999</v>
      </c>
      <c r="T98" s="61">
        <f t="shared" si="31"/>
        <v>1.1344056192000003</v>
      </c>
      <c r="U98" s="60">
        <f t="shared" si="32"/>
        <v>1.1366920380000001</v>
      </c>
      <c r="V98" s="61">
        <f t="shared" si="33"/>
        <v>1.1296064639999999</v>
      </c>
      <c r="W98" s="60">
        <f t="shared" si="34"/>
        <v>1.135247624</v>
      </c>
      <c r="X98" s="61">
        <f t="shared" si="35"/>
        <v>1.1382946680000001</v>
      </c>
      <c r="Y98" s="60">
        <f t="shared" si="36"/>
        <v>1.131199104</v>
      </c>
      <c r="Z98" s="61">
        <f t="shared" si="37"/>
        <v>1.1334790599999998</v>
      </c>
    </row>
    <row r="99" spans="2:26" x14ac:dyDescent="0.3">
      <c r="B99" s="9" t="s">
        <v>114</v>
      </c>
      <c r="C99" s="54">
        <v>1.0643</v>
      </c>
      <c r="D99" s="55">
        <v>1.0671999999999999</v>
      </c>
      <c r="E99" s="54">
        <v>1.069</v>
      </c>
      <c r="F99" s="54">
        <v>1.0641</v>
      </c>
      <c r="G99" s="82">
        <f t="shared" si="18"/>
        <v>1.06698</v>
      </c>
      <c r="H99" s="58">
        <f t="shared" si="19"/>
        <v>1.06976</v>
      </c>
      <c r="I99" s="59">
        <f t="shared" si="20"/>
        <v>1.0629</v>
      </c>
      <c r="J99" s="58">
        <f t="shared" si="21"/>
        <v>1.06552</v>
      </c>
      <c r="K99" s="59">
        <f t="shared" si="22"/>
        <v>1.0643</v>
      </c>
      <c r="L99" s="61">
        <f t="shared" si="23"/>
        <v>1.1384463204000002</v>
      </c>
      <c r="M99" s="60">
        <f t="shared" si="24"/>
        <v>1.1443864576</v>
      </c>
      <c r="N99" s="61">
        <f t="shared" si="25"/>
        <v>1.1297564099999999</v>
      </c>
      <c r="O99" s="60">
        <f t="shared" si="26"/>
        <v>1.1353328704000001</v>
      </c>
      <c r="P99" s="61">
        <f t="shared" si="27"/>
        <v>1.13273449</v>
      </c>
      <c r="Q99" s="60">
        <f t="shared" si="28"/>
        <v>1.1414125248</v>
      </c>
      <c r="R99" s="61">
        <f t="shared" si="29"/>
        <v>1.1340930419999999</v>
      </c>
      <c r="S99" s="60">
        <f t="shared" si="30"/>
        <v>1.1368885296</v>
      </c>
      <c r="T99" s="61">
        <f t="shared" si="31"/>
        <v>1.1370479040000001</v>
      </c>
      <c r="U99" s="60">
        <f t="shared" si="32"/>
        <v>1.1398506752000002</v>
      </c>
      <c r="V99" s="61">
        <f t="shared" si="33"/>
        <v>1.1325412079999999</v>
      </c>
      <c r="W99" s="60">
        <f t="shared" si="34"/>
        <v>1.1355868140000001</v>
      </c>
      <c r="X99" s="61">
        <f t="shared" si="35"/>
        <v>1.1385455680000001</v>
      </c>
      <c r="Y99" s="60">
        <f t="shared" si="36"/>
        <v>1.1312444699999999</v>
      </c>
      <c r="Z99" s="61">
        <f t="shared" si="37"/>
        <v>1.1340329360000001</v>
      </c>
    </row>
    <row r="100" spans="2:26" x14ac:dyDescent="0.3">
      <c r="B100" s="9" t="s">
        <v>115</v>
      </c>
      <c r="C100" s="54">
        <v>1.0670999999999999</v>
      </c>
      <c r="D100" s="55">
        <v>1.0619000000000001</v>
      </c>
      <c r="E100" s="54">
        <v>1.0680000000000001</v>
      </c>
      <c r="F100" s="54">
        <v>1.0605</v>
      </c>
      <c r="G100" s="82">
        <f t="shared" si="18"/>
        <v>1.0717399999999999</v>
      </c>
      <c r="H100" s="58">
        <f t="shared" si="19"/>
        <v>1.07352</v>
      </c>
      <c r="I100" s="59">
        <f t="shared" si="20"/>
        <v>1.0653599999999999</v>
      </c>
      <c r="J100" s="58">
        <f t="shared" si="21"/>
        <v>1.0669400000000002</v>
      </c>
      <c r="K100" s="59">
        <f t="shared" si="22"/>
        <v>1.0670999999999999</v>
      </c>
      <c r="L100" s="61">
        <f t="shared" si="23"/>
        <v>1.1486266275999999</v>
      </c>
      <c r="M100" s="60">
        <f t="shared" si="24"/>
        <v>1.1524451904000002</v>
      </c>
      <c r="N100" s="61">
        <f t="shared" si="25"/>
        <v>1.1349919295999997</v>
      </c>
      <c r="O100" s="60">
        <f t="shared" si="26"/>
        <v>1.1383609636000005</v>
      </c>
      <c r="P100" s="61">
        <f t="shared" si="27"/>
        <v>1.1387024099999998</v>
      </c>
      <c r="Q100" s="60">
        <f t="shared" si="28"/>
        <v>1.1505343248</v>
      </c>
      <c r="R100" s="61">
        <f t="shared" si="29"/>
        <v>1.1417889263999998</v>
      </c>
      <c r="S100" s="60">
        <f t="shared" si="30"/>
        <v>1.1434822756</v>
      </c>
      <c r="T100" s="61">
        <f t="shared" si="31"/>
        <v>1.1436852672</v>
      </c>
      <c r="U100" s="60">
        <f t="shared" si="32"/>
        <v>1.1453814288000004</v>
      </c>
      <c r="V100" s="61">
        <f t="shared" si="33"/>
        <v>1.1366751984000001</v>
      </c>
      <c r="W100" s="60">
        <f t="shared" si="34"/>
        <v>1.1436537539999998</v>
      </c>
      <c r="X100" s="61">
        <f t="shared" si="35"/>
        <v>1.1455531919999999</v>
      </c>
      <c r="Y100" s="60">
        <f t="shared" si="36"/>
        <v>1.1368456559999998</v>
      </c>
      <c r="Z100" s="61">
        <f t="shared" si="37"/>
        <v>1.1385316740000002</v>
      </c>
    </row>
    <row r="101" spans="2:26" s="1" customFormat="1" x14ac:dyDescent="0.3">
      <c r="B101" s="9" t="s">
        <v>116</v>
      </c>
      <c r="C101" s="54">
        <v>1.0617000000000001</v>
      </c>
      <c r="D101" s="55">
        <v>1.0624</v>
      </c>
      <c r="E101" s="54">
        <v>1.0653999999999999</v>
      </c>
      <c r="F101" s="54">
        <v>1.0601</v>
      </c>
      <c r="G101" s="82">
        <f t="shared" si="18"/>
        <v>1.0764400000000003</v>
      </c>
      <c r="H101" s="58">
        <f t="shared" si="19"/>
        <v>1.07816</v>
      </c>
      <c r="I101" s="59">
        <f t="shared" si="20"/>
        <v>1.0702799999999999</v>
      </c>
      <c r="J101" s="58">
        <f t="shared" si="21"/>
        <v>1.0717000000000001</v>
      </c>
      <c r="K101" s="59">
        <f t="shared" si="22"/>
        <v>1.0617000000000001</v>
      </c>
      <c r="L101" s="61">
        <f t="shared" si="23"/>
        <v>1.1587230736000007</v>
      </c>
      <c r="M101" s="60">
        <f t="shared" si="24"/>
        <v>1.1624289856000001</v>
      </c>
      <c r="N101" s="61">
        <f t="shared" si="25"/>
        <v>1.1454992783999998</v>
      </c>
      <c r="O101" s="60">
        <f t="shared" si="26"/>
        <v>1.1485408900000003</v>
      </c>
      <c r="P101" s="61">
        <f t="shared" si="27"/>
        <v>1.1272068900000003</v>
      </c>
      <c r="Q101" s="60">
        <f t="shared" si="28"/>
        <v>1.1605745504000002</v>
      </c>
      <c r="R101" s="61">
        <f t="shared" si="29"/>
        <v>1.1520922032000003</v>
      </c>
      <c r="S101" s="60">
        <f t="shared" si="30"/>
        <v>1.1536207480000005</v>
      </c>
      <c r="T101" s="61">
        <f t="shared" si="31"/>
        <v>1.1539330848</v>
      </c>
      <c r="U101" s="60">
        <f t="shared" si="32"/>
        <v>1.155464072</v>
      </c>
      <c r="V101" s="61">
        <f t="shared" si="33"/>
        <v>1.1470190760000001</v>
      </c>
      <c r="W101" s="60">
        <f t="shared" si="34"/>
        <v>1.1428563480000005</v>
      </c>
      <c r="X101" s="61">
        <f t="shared" si="35"/>
        <v>1.1446824720000002</v>
      </c>
      <c r="Y101" s="60">
        <f t="shared" si="36"/>
        <v>1.1363162760000001</v>
      </c>
      <c r="Z101" s="61">
        <f t="shared" si="37"/>
        <v>1.1378238900000002</v>
      </c>
    </row>
    <row r="102" spans="2:26" s="1" customFormat="1" x14ac:dyDescent="0.3">
      <c r="B102" s="9" t="s">
        <v>117</v>
      </c>
      <c r="C102" s="54">
        <v>1.0622</v>
      </c>
      <c r="D102" s="55">
        <v>1.0637000000000001</v>
      </c>
      <c r="E102" s="54">
        <v>1.0666</v>
      </c>
      <c r="F102" s="54">
        <v>1.0619000000000001</v>
      </c>
      <c r="G102" s="82">
        <f t="shared" si="18"/>
        <v>1.08056</v>
      </c>
      <c r="H102" s="58">
        <f t="shared" si="19"/>
        <v>1.0820999999999998</v>
      </c>
      <c r="I102" s="59">
        <f t="shared" si="20"/>
        <v>1.0743</v>
      </c>
      <c r="J102" s="58">
        <f t="shared" si="21"/>
        <v>1.0764199999999999</v>
      </c>
      <c r="K102" s="59">
        <f t="shared" si="22"/>
        <v>1.0622</v>
      </c>
      <c r="L102" s="61">
        <f t="shared" si="23"/>
        <v>1.1676099136</v>
      </c>
      <c r="M102" s="60">
        <f t="shared" si="24"/>
        <v>1.1709404099999996</v>
      </c>
      <c r="N102" s="61">
        <f t="shared" si="25"/>
        <v>1.1541204900000002</v>
      </c>
      <c r="O102" s="60">
        <f t="shared" si="26"/>
        <v>1.1586800164</v>
      </c>
      <c r="P102" s="61">
        <f t="shared" si="27"/>
        <v>1.1282688400000001</v>
      </c>
      <c r="Q102" s="60">
        <f t="shared" si="28"/>
        <v>1.1692739759999997</v>
      </c>
      <c r="R102" s="61">
        <f t="shared" si="29"/>
        <v>1.160845608</v>
      </c>
      <c r="S102" s="60">
        <f t="shared" si="30"/>
        <v>1.1631363951999998</v>
      </c>
      <c r="T102" s="61">
        <f t="shared" si="31"/>
        <v>1.1625000299999999</v>
      </c>
      <c r="U102" s="60">
        <f t="shared" si="32"/>
        <v>1.1647940819999998</v>
      </c>
      <c r="V102" s="61">
        <f t="shared" si="33"/>
        <v>1.1563980059999999</v>
      </c>
      <c r="W102" s="60">
        <f t="shared" si="34"/>
        <v>1.147770832</v>
      </c>
      <c r="X102" s="61">
        <f t="shared" si="35"/>
        <v>1.1494066199999999</v>
      </c>
      <c r="Y102" s="60">
        <f t="shared" si="36"/>
        <v>1.1411214600000001</v>
      </c>
      <c r="Z102" s="61">
        <f t="shared" si="37"/>
        <v>1.1433733239999999</v>
      </c>
    </row>
    <row r="103" spans="2:26" s="1" customFormat="1" x14ac:dyDescent="0.3">
      <c r="B103" s="40">
        <v>45630</v>
      </c>
      <c r="C103" s="54">
        <v>1.0642</v>
      </c>
      <c r="D103" s="55">
        <v>1.0726</v>
      </c>
      <c r="E103" s="54">
        <v>1.0730999999999999</v>
      </c>
      <c r="F103" s="54">
        <v>1.0622</v>
      </c>
      <c r="G103" s="82">
        <f t="shared" si="18"/>
        <v>1.0827599999999999</v>
      </c>
      <c r="H103" s="58">
        <f t="shared" si="19"/>
        <v>1.0844400000000001</v>
      </c>
      <c r="I103" s="59">
        <f t="shared" si="20"/>
        <v>1.0776799999999997</v>
      </c>
      <c r="J103" s="58">
        <f t="shared" si="21"/>
        <v>1.0802799999999999</v>
      </c>
      <c r="K103" s="59">
        <f t="shared" si="22"/>
        <v>1.0642</v>
      </c>
      <c r="L103" s="61">
        <f t="shared" si="23"/>
        <v>1.1723692175999998</v>
      </c>
      <c r="M103" s="60">
        <f t="shared" si="24"/>
        <v>1.1760101136000001</v>
      </c>
      <c r="N103" s="61">
        <f t="shared" si="25"/>
        <v>1.1613941823999994</v>
      </c>
      <c r="O103" s="60">
        <f t="shared" si="26"/>
        <v>1.1670048783999998</v>
      </c>
      <c r="P103" s="61">
        <f t="shared" si="27"/>
        <v>1.13252164</v>
      </c>
      <c r="Q103" s="60">
        <f t="shared" si="28"/>
        <v>1.1741882544</v>
      </c>
      <c r="R103" s="61">
        <f t="shared" si="29"/>
        <v>1.1668687967999998</v>
      </c>
      <c r="S103" s="60">
        <f t="shared" si="30"/>
        <v>1.1696839727999999</v>
      </c>
      <c r="T103" s="61">
        <f t="shared" si="31"/>
        <v>1.1686792991999999</v>
      </c>
      <c r="U103" s="60">
        <f t="shared" si="32"/>
        <v>1.1714988432</v>
      </c>
      <c r="V103" s="61">
        <f t="shared" si="33"/>
        <v>1.1641961503999996</v>
      </c>
      <c r="W103" s="60">
        <f t="shared" si="34"/>
        <v>1.152273192</v>
      </c>
      <c r="X103" s="61">
        <f t="shared" si="35"/>
        <v>1.1540610480000002</v>
      </c>
      <c r="Y103" s="60">
        <f t="shared" si="36"/>
        <v>1.1468670559999998</v>
      </c>
      <c r="Z103" s="61">
        <f t="shared" si="37"/>
        <v>1.1496339759999998</v>
      </c>
    </row>
    <row r="104" spans="2:26" s="1" customFormat="1" x14ac:dyDescent="0.3">
      <c r="B104" s="40">
        <v>45600</v>
      </c>
      <c r="C104" s="54">
        <v>1.0724</v>
      </c>
      <c r="D104" s="55">
        <v>1.0743</v>
      </c>
      <c r="E104" s="54">
        <v>1.0757000000000001</v>
      </c>
      <c r="F104" s="54">
        <v>1.0698000000000001</v>
      </c>
      <c r="G104" s="82">
        <f t="shared" si="18"/>
        <v>1.0845600000000002</v>
      </c>
      <c r="H104" s="58">
        <f t="shared" si="19"/>
        <v>1.08684</v>
      </c>
      <c r="I104" s="59">
        <f t="shared" si="20"/>
        <v>1.08036</v>
      </c>
      <c r="J104" s="58">
        <f t="shared" si="21"/>
        <v>1.0825</v>
      </c>
      <c r="K104" s="59">
        <f t="shared" si="22"/>
        <v>1.0724</v>
      </c>
      <c r="L104" s="61">
        <f t="shared" si="23"/>
        <v>1.1762703936000005</v>
      </c>
      <c r="M104" s="60">
        <f t="shared" si="24"/>
        <v>1.1812211856000001</v>
      </c>
      <c r="N104" s="61">
        <f t="shared" si="25"/>
        <v>1.1671777295999999</v>
      </c>
      <c r="O104" s="60">
        <f t="shared" si="26"/>
        <v>1.1718062499999999</v>
      </c>
      <c r="P104" s="61">
        <f t="shared" si="27"/>
        <v>1.1500417600000001</v>
      </c>
      <c r="Q104" s="60">
        <f t="shared" si="28"/>
        <v>1.1787431904000003</v>
      </c>
      <c r="R104" s="61">
        <f t="shared" si="29"/>
        <v>1.1717152416000003</v>
      </c>
      <c r="S104" s="60">
        <f t="shared" si="30"/>
        <v>1.1740362000000002</v>
      </c>
      <c r="T104" s="61">
        <f t="shared" si="31"/>
        <v>1.1741784624</v>
      </c>
      <c r="U104" s="60">
        <f t="shared" si="32"/>
        <v>1.1765042999999999</v>
      </c>
      <c r="V104" s="61">
        <f t="shared" si="33"/>
        <v>1.1694897</v>
      </c>
      <c r="W104" s="60">
        <f t="shared" si="34"/>
        <v>1.1630821440000003</v>
      </c>
      <c r="X104" s="61">
        <f t="shared" si="35"/>
        <v>1.1655272160000001</v>
      </c>
      <c r="Y104" s="60">
        <f t="shared" si="36"/>
        <v>1.1585780640000001</v>
      </c>
      <c r="Z104" s="61">
        <f t="shared" si="37"/>
        <v>1.160873</v>
      </c>
    </row>
    <row r="105" spans="2:26" s="1" customFormat="1" x14ac:dyDescent="0.3">
      <c r="B105" s="40">
        <v>45569</v>
      </c>
      <c r="C105" s="54">
        <v>1.0742</v>
      </c>
      <c r="D105" s="55">
        <v>1.0857000000000001</v>
      </c>
      <c r="E105" s="54">
        <v>1.0868</v>
      </c>
      <c r="F105" s="54">
        <v>1.0728</v>
      </c>
      <c r="G105" s="82">
        <f>AVERAGE(D106:D110)</f>
        <v>1.0828599999999997</v>
      </c>
      <c r="H105" s="58">
        <f t="shared" si="19"/>
        <v>1.0862400000000001</v>
      </c>
      <c r="I105" s="59">
        <f t="shared" si="20"/>
        <v>1.0810599999999999</v>
      </c>
      <c r="J105" s="58">
        <f t="shared" si="21"/>
        <v>1.08436</v>
      </c>
      <c r="K105" s="59">
        <f t="shared" si="22"/>
        <v>1.0742</v>
      </c>
      <c r="L105" s="61">
        <f t="shared" si="23"/>
        <v>1.1725857795999994</v>
      </c>
      <c r="M105" s="60">
        <f t="shared" si="24"/>
        <v>1.1799173376000003</v>
      </c>
      <c r="N105" s="61">
        <f t="shared" si="25"/>
        <v>1.1686907235999997</v>
      </c>
      <c r="O105" s="60">
        <f t="shared" si="26"/>
        <v>1.1758366095999999</v>
      </c>
      <c r="P105" s="61">
        <f t="shared" si="27"/>
        <v>1.1539056400000001</v>
      </c>
      <c r="Q105" s="60">
        <f t="shared" si="28"/>
        <v>1.1762458463999999</v>
      </c>
      <c r="R105" s="61">
        <f t="shared" si="29"/>
        <v>1.1706366315999996</v>
      </c>
      <c r="S105" s="60">
        <f t="shared" si="30"/>
        <v>1.1742100695999997</v>
      </c>
      <c r="T105" s="61">
        <f t="shared" si="31"/>
        <v>1.1742906144</v>
      </c>
      <c r="U105" s="60">
        <f t="shared" si="32"/>
        <v>1.1778752064</v>
      </c>
      <c r="V105" s="61">
        <f t="shared" si="33"/>
        <v>1.1722582215999999</v>
      </c>
      <c r="W105" s="60">
        <f t="shared" si="34"/>
        <v>1.1632082119999998</v>
      </c>
      <c r="X105" s="61">
        <f t="shared" si="35"/>
        <v>1.1668390080000002</v>
      </c>
      <c r="Y105" s="60">
        <f t="shared" si="36"/>
        <v>1.1612746519999999</v>
      </c>
      <c r="Z105" s="61">
        <f>J105*K105</f>
        <v>1.164819512</v>
      </c>
    </row>
    <row r="106" spans="2:26" s="1" customFormat="1" x14ac:dyDescent="0.3">
      <c r="B106" s="40">
        <v>45539</v>
      </c>
      <c r="C106" s="54">
        <v>1.0854999999999999</v>
      </c>
      <c r="D106" s="55">
        <v>1.0859000000000001</v>
      </c>
      <c r="E106" s="54">
        <v>1.0886</v>
      </c>
      <c r="F106" s="54">
        <v>1.0847</v>
      </c>
      <c r="G106" s="82">
        <f t="shared" ref="G106:G115" si="38">AVERAGE(D107:D111)</f>
        <v>1.0805400000000001</v>
      </c>
      <c r="H106" s="58">
        <f t="shared" ref="H106:H115" si="39">AVERAGE(E107:E111)</f>
        <v>1.08412</v>
      </c>
      <c r="I106" s="59">
        <f t="shared" ref="I106:I115" si="40">AVERAGE(F107:F111)</f>
        <v>1.0786</v>
      </c>
      <c r="J106" s="58">
        <f t="shared" ref="J106:J115" si="41">AVERAGE(C107:C111)</f>
        <v>1.0826199999999999</v>
      </c>
      <c r="K106" s="59">
        <f t="shared" ref="K106:K115" si="42">C106</f>
        <v>1.0854999999999999</v>
      </c>
      <c r="L106" s="61">
        <f t="shared" ref="L106:L115" si="43">G106^2</f>
        <v>1.1675666916</v>
      </c>
      <c r="M106" s="60">
        <f t="shared" ref="M106:M115" si="44">H106^2</f>
        <v>1.1753161744</v>
      </c>
      <c r="N106" s="61">
        <f t="shared" ref="N106:N115" si="45">I106^2</f>
        <v>1.16337796</v>
      </c>
      <c r="O106" s="60">
        <f t="shared" ref="O106:O115" si="46">J106^2</f>
        <v>1.1720660643999998</v>
      </c>
      <c r="P106" s="61">
        <f t="shared" ref="P106:P115" si="47">K106^2</f>
        <v>1.1783102499999998</v>
      </c>
      <c r="Q106" s="60">
        <f t="shared" ref="Q106:Q115" si="48">G106*H106</f>
        <v>1.1714350248000001</v>
      </c>
      <c r="R106" s="61">
        <f t="shared" ref="R106:R115" si="49">G106*I106</f>
        <v>1.1654704440000001</v>
      </c>
      <c r="S106" s="60">
        <f t="shared" ref="S106:S115" si="50">G106*J106</f>
        <v>1.1698142147999999</v>
      </c>
      <c r="T106" s="61">
        <f t="shared" ref="T106:T115" si="51">H106*I106</f>
        <v>1.1693318319999999</v>
      </c>
      <c r="U106" s="60">
        <f t="shared" ref="U106:U115" si="52">H106*J106</f>
        <v>1.1736899943999999</v>
      </c>
      <c r="V106" s="61">
        <f t="shared" ref="V106:V115" si="53">I106*J106</f>
        <v>1.1677139319999998</v>
      </c>
      <c r="W106" s="60">
        <f t="shared" ref="W106:W115" si="54">G106*K106</f>
        <v>1.17292617</v>
      </c>
      <c r="X106" s="61">
        <f t="shared" ref="X106:X115" si="55">H106*K106</f>
        <v>1.1768122599999999</v>
      </c>
      <c r="Y106" s="60">
        <f t="shared" ref="Y106:Y115" si="56">I106*K106</f>
        <v>1.1708202999999999</v>
      </c>
      <c r="Z106" s="61">
        <f t="shared" ref="Z106:Z115" si="57">J106*K106</f>
        <v>1.1751840099999997</v>
      </c>
    </row>
    <row r="107" spans="2:26" s="1" customFormat="1" x14ac:dyDescent="0.3">
      <c r="B107" s="40">
        <v>45508</v>
      </c>
      <c r="C107" s="54">
        <v>1.0858000000000001</v>
      </c>
      <c r="D107" s="55">
        <v>1.0843</v>
      </c>
      <c r="E107" s="54">
        <v>1.0863</v>
      </c>
      <c r="F107" s="54">
        <v>1.0820000000000001</v>
      </c>
      <c r="G107" s="82">
        <f t="shared" si="38"/>
        <v>1.0794400000000002</v>
      </c>
      <c r="H107" s="58">
        <f t="shared" si="39"/>
        <v>1.08284</v>
      </c>
      <c r="I107" s="59">
        <f t="shared" si="40"/>
        <v>1.0768200000000001</v>
      </c>
      <c r="J107" s="58">
        <f t="shared" si="41"/>
        <v>1.0803199999999999</v>
      </c>
      <c r="K107" s="59">
        <f t="shared" si="42"/>
        <v>1.0858000000000001</v>
      </c>
      <c r="L107" s="61">
        <f t="shared" si="43"/>
        <v>1.1651907136000004</v>
      </c>
      <c r="M107" s="60">
        <f t="shared" si="44"/>
        <v>1.1725424656000001</v>
      </c>
      <c r="N107" s="61">
        <f t="shared" si="45"/>
        <v>1.1595413124000002</v>
      </c>
      <c r="O107" s="60">
        <f t="shared" si="46"/>
        <v>1.1670913023999998</v>
      </c>
      <c r="P107" s="61">
        <f t="shared" si="47"/>
        <v>1.1789616400000003</v>
      </c>
      <c r="Q107" s="60">
        <f t="shared" si="48"/>
        <v>1.1688608096000002</v>
      </c>
      <c r="R107" s="61">
        <f t="shared" si="49"/>
        <v>1.1623625808000002</v>
      </c>
      <c r="S107" s="60">
        <f t="shared" si="50"/>
        <v>1.1661406208</v>
      </c>
      <c r="T107" s="61">
        <f t="shared" si="51"/>
        <v>1.1660237688000001</v>
      </c>
      <c r="U107" s="60">
        <f t="shared" si="52"/>
        <v>1.1698137088</v>
      </c>
      <c r="V107" s="61">
        <f t="shared" si="53"/>
        <v>1.1633101824000001</v>
      </c>
      <c r="W107" s="60">
        <f t="shared" si="54"/>
        <v>1.1720559520000002</v>
      </c>
      <c r="X107" s="61">
        <f t="shared" si="55"/>
        <v>1.1757476720000002</v>
      </c>
      <c r="Y107" s="60">
        <f t="shared" si="56"/>
        <v>1.1692111560000003</v>
      </c>
      <c r="Z107" s="61">
        <f t="shared" si="57"/>
        <v>1.173011456</v>
      </c>
    </row>
    <row r="108" spans="2:26" s="1" customFormat="1" x14ac:dyDescent="0.3">
      <c r="B108" s="40">
        <v>45416</v>
      </c>
      <c r="C108" s="54">
        <v>1.0834999999999999</v>
      </c>
      <c r="D108" s="55">
        <v>1.0835999999999999</v>
      </c>
      <c r="E108" s="54">
        <v>1.0848</v>
      </c>
      <c r="F108" s="54">
        <v>1.0790999999999999</v>
      </c>
      <c r="G108" s="82">
        <f t="shared" si="38"/>
        <v>1.0785199999999999</v>
      </c>
      <c r="H108" s="58">
        <f t="shared" si="39"/>
        <v>1.0820000000000001</v>
      </c>
      <c r="I108" s="59">
        <f t="shared" si="40"/>
        <v>1.0763399999999999</v>
      </c>
      <c r="J108" s="58">
        <f t="shared" si="41"/>
        <v>1.0794799999999998</v>
      </c>
      <c r="K108" s="59">
        <f t="shared" si="42"/>
        <v>1.0834999999999999</v>
      </c>
      <c r="L108" s="61">
        <f t="shared" si="43"/>
        <v>1.1632053903999999</v>
      </c>
      <c r="M108" s="60">
        <f t="shared" si="44"/>
        <v>1.1707240000000001</v>
      </c>
      <c r="N108" s="61">
        <f t="shared" si="45"/>
        <v>1.1585077955999996</v>
      </c>
      <c r="O108" s="60">
        <f t="shared" si="46"/>
        <v>1.1652770703999995</v>
      </c>
      <c r="P108" s="61">
        <f t="shared" si="47"/>
        <v>1.1739722499999998</v>
      </c>
      <c r="Q108" s="60">
        <f t="shared" si="48"/>
        <v>1.16695864</v>
      </c>
      <c r="R108" s="61">
        <f t="shared" si="49"/>
        <v>1.1608542167999998</v>
      </c>
      <c r="S108" s="60">
        <f t="shared" si="50"/>
        <v>1.1642407695999997</v>
      </c>
      <c r="T108" s="61">
        <f t="shared" si="51"/>
        <v>1.1645998799999999</v>
      </c>
      <c r="U108" s="60">
        <f t="shared" si="52"/>
        <v>1.1679973599999998</v>
      </c>
      <c r="V108" s="61">
        <f t="shared" si="53"/>
        <v>1.1618875031999996</v>
      </c>
      <c r="W108" s="60">
        <f t="shared" si="54"/>
        <v>1.1685764199999997</v>
      </c>
      <c r="X108" s="61">
        <f t="shared" si="55"/>
        <v>1.172347</v>
      </c>
      <c r="Y108" s="60">
        <f t="shared" si="56"/>
        <v>1.1662143899999997</v>
      </c>
      <c r="Z108" s="61">
        <f t="shared" si="57"/>
        <v>1.1696165799999996</v>
      </c>
    </row>
    <row r="109" spans="2:26" s="1" customFormat="1" x14ac:dyDescent="0.3">
      <c r="B109" s="40">
        <v>45386</v>
      </c>
      <c r="C109" s="54">
        <v>1.0834999999999999</v>
      </c>
      <c r="D109" s="55">
        <v>1.0832999999999999</v>
      </c>
      <c r="E109" s="54">
        <v>1.0876999999999999</v>
      </c>
      <c r="F109" s="54">
        <v>1.0831999999999999</v>
      </c>
      <c r="G109" s="82">
        <f t="shared" si="38"/>
        <v>1.0783999999999998</v>
      </c>
      <c r="H109" s="58">
        <f t="shared" si="39"/>
        <v>1.0810200000000001</v>
      </c>
      <c r="I109" s="59">
        <f t="shared" si="40"/>
        <v>1.07518</v>
      </c>
      <c r="J109" s="58">
        <f t="shared" si="41"/>
        <v>1.0785199999999999</v>
      </c>
      <c r="K109" s="59">
        <f t="shared" si="42"/>
        <v>1.0834999999999999</v>
      </c>
      <c r="L109" s="61">
        <f t="shared" si="43"/>
        <v>1.1629465599999995</v>
      </c>
      <c r="M109" s="60">
        <f t="shared" si="44"/>
        <v>1.1686042404000001</v>
      </c>
      <c r="N109" s="61">
        <f t="shared" si="45"/>
        <v>1.1560120324000001</v>
      </c>
      <c r="O109" s="60">
        <f t="shared" si="46"/>
        <v>1.1632053903999999</v>
      </c>
      <c r="P109" s="61">
        <f t="shared" si="47"/>
        <v>1.1739722499999998</v>
      </c>
      <c r="Q109" s="60">
        <f t="shared" si="48"/>
        <v>1.1657719679999998</v>
      </c>
      <c r="R109" s="61">
        <f t="shared" si="49"/>
        <v>1.1594741119999998</v>
      </c>
      <c r="S109" s="60">
        <f t="shared" si="50"/>
        <v>1.1630759679999998</v>
      </c>
      <c r="T109" s="61">
        <f t="shared" si="51"/>
        <v>1.1622910836000002</v>
      </c>
      <c r="U109" s="60">
        <f t="shared" si="52"/>
        <v>1.1659016903999999</v>
      </c>
      <c r="V109" s="61">
        <f t="shared" si="53"/>
        <v>1.1596031335999999</v>
      </c>
      <c r="W109" s="60">
        <f t="shared" si="54"/>
        <v>1.1684463999999997</v>
      </c>
      <c r="X109" s="61">
        <f t="shared" si="55"/>
        <v>1.17128517</v>
      </c>
      <c r="Y109" s="60">
        <f t="shared" si="56"/>
        <v>1.1649575299999999</v>
      </c>
      <c r="Z109" s="61">
        <f t="shared" si="57"/>
        <v>1.1685764199999997</v>
      </c>
    </row>
    <row r="110" spans="2:26" s="1" customFormat="1" x14ac:dyDescent="0.3">
      <c r="B110" s="40">
        <v>45355</v>
      </c>
      <c r="C110" s="54">
        <v>1.0834999999999999</v>
      </c>
      <c r="D110" s="55">
        <v>1.0771999999999999</v>
      </c>
      <c r="E110" s="54">
        <v>1.0838000000000001</v>
      </c>
      <c r="F110" s="54">
        <v>1.0763</v>
      </c>
      <c r="G110" s="82">
        <f t="shared" si="38"/>
        <v>1.0795999999999999</v>
      </c>
      <c r="H110" s="58">
        <f t="shared" si="39"/>
        <v>1.0810600000000001</v>
      </c>
      <c r="I110" s="59">
        <f t="shared" si="40"/>
        <v>1.07612</v>
      </c>
      <c r="J110" s="58">
        <f t="shared" si="41"/>
        <v>1.0783400000000001</v>
      </c>
      <c r="K110" s="59">
        <f t="shared" si="42"/>
        <v>1.0834999999999999</v>
      </c>
      <c r="L110" s="61">
        <f t="shared" si="43"/>
        <v>1.1655361599999998</v>
      </c>
      <c r="M110" s="60">
        <f t="shared" si="44"/>
        <v>1.1686907236000004</v>
      </c>
      <c r="N110" s="61">
        <f t="shared" si="45"/>
        <v>1.1580342544</v>
      </c>
      <c r="O110" s="60">
        <f t="shared" si="46"/>
        <v>1.1628171556000002</v>
      </c>
      <c r="P110" s="61">
        <f t="shared" si="47"/>
        <v>1.1739722499999998</v>
      </c>
      <c r="Q110" s="60">
        <f t="shared" si="48"/>
        <v>1.167112376</v>
      </c>
      <c r="R110" s="61">
        <f t="shared" si="49"/>
        <v>1.1617791519999998</v>
      </c>
      <c r="S110" s="60">
        <f t="shared" si="50"/>
        <v>1.1641758639999999</v>
      </c>
      <c r="T110" s="61">
        <f t="shared" si="51"/>
        <v>1.1633502872000001</v>
      </c>
      <c r="U110" s="60">
        <f t="shared" si="52"/>
        <v>1.1657502404000002</v>
      </c>
      <c r="V110" s="61">
        <f t="shared" si="53"/>
        <v>1.1604232408000001</v>
      </c>
      <c r="W110" s="60">
        <f t="shared" si="54"/>
        <v>1.1697465999999999</v>
      </c>
      <c r="X110" s="61">
        <f t="shared" si="55"/>
        <v>1.1713285099999999</v>
      </c>
      <c r="Y110" s="60">
        <f t="shared" si="56"/>
        <v>1.1659760199999998</v>
      </c>
      <c r="Z110" s="61">
        <f t="shared" si="57"/>
        <v>1.16838139</v>
      </c>
    </row>
    <row r="111" spans="2:26" x14ac:dyDescent="0.3">
      <c r="B111" s="40">
        <v>45326</v>
      </c>
      <c r="C111" s="54">
        <v>1.0768</v>
      </c>
      <c r="D111" s="55">
        <v>1.0743</v>
      </c>
      <c r="E111" s="54">
        <v>1.0780000000000001</v>
      </c>
      <c r="F111" s="54">
        <v>1.0724</v>
      </c>
      <c r="G111" s="82">
        <f t="shared" si="38"/>
        <v>1.0814999999999999</v>
      </c>
      <c r="H111" s="58">
        <f t="shared" si="39"/>
        <v>1.0827599999999999</v>
      </c>
      <c r="I111" s="59">
        <f t="shared" si="40"/>
        <v>1.0781199999999997</v>
      </c>
      <c r="J111" s="58">
        <f t="shared" si="41"/>
        <v>1.07958</v>
      </c>
      <c r="K111" s="59">
        <f t="shared" si="42"/>
        <v>1.0768</v>
      </c>
      <c r="L111" s="61">
        <f t="shared" si="43"/>
        <v>1.1696422499999999</v>
      </c>
      <c r="M111" s="60">
        <f t="shared" si="44"/>
        <v>1.1723692175999998</v>
      </c>
      <c r="N111" s="61">
        <f t="shared" si="45"/>
        <v>1.1623427343999995</v>
      </c>
      <c r="O111" s="60">
        <f t="shared" si="46"/>
        <v>1.1654929763999999</v>
      </c>
      <c r="P111" s="61">
        <f t="shared" si="47"/>
        <v>1.15949824</v>
      </c>
      <c r="Q111" s="60">
        <f t="shared" si="48"/>
        <v>1.1710049399999998</v>
      </c>
      <c r="R111" s="61">
        <f t="shared" si="49"/>
        <v>1.1659867799999997</v>
      </c>
      <c r="S111" s="60">
        <f t="shared" si="50"/>
        <v>1.1675657699999999</v>
      </c>
      <c r="T111" s="61">
        <f t="shared" si="51"/>
        <v>1.1673452111999996</v>
      </c>
      <c r="U111" s="60">
        <f t="shared" si="52"/>
        <v>1.1689260408</v>
      </c>
      <c r="V111" s="61">
        <f t="shared" si="53"/>
        <v>1.1639167895999998</v>
      </c>
      <c r="W111" s="60">
        <f t="shared" si="54"/>
        <v>1.1645591999999998</v>
      </c>
      <c r="X111" s="61">
        <f t="shared" si="55"/>
        <v>1.165915968</v>
      </c>
      <c r="Y111" s="60">
        <f t="shared" si="56"/>
        <v>1.1609196159999997</v>
      </c>
      <c r="Z111" s="61">
        <f t="shared" si="57"/>
        <v>1.162491744</v>
      </c>
    </row>
    <row r="112" spans="2:26" x14ac:dyDescent="0.3">
      <c r="B112" s="40">
        <v>45295</v>
      </c>
      <c r="C112" s="54">
        <v>1.0743</v>
      </c>
      <c r="D112" s="55">
        <v>1.0788</v>
      </c>
      <c r="E112" s="54">
        <v>1.0799000000000001</v>
      </c>
      <c r="F112" s="54">
        <v>1.0730999999999999</v>
      </c>
      <c r="G112" s="82">
        <f t="shared" si="38"/>
        <v>1.0818999999999999</v>
      </c>
      <c r="H112" s="58">
        <f t="shared" si="39"/>
        <v>1.0836399999999999</v>
      </c>
      <c r="I112" s="59">
        <f t="shared" si="40"/>
        <v>1.0795400000000002</v>
      </c>
      <c r="J112" s="58">
        <f t="shared" si="41"/>
        <v>1.08144</v>
      </c>
      <c r="K112" s="59">
        <f t="shared" si="42"/>
        <v>1.0743</v>
      </c>
      <c r="L112" s="61">
        <f t="shared" si="43"/>
        <v>1.1705076099999998</v>
      </c>
      <c r="M112" s="60">
        <f t="shared" si="44"/>
        <v>1.1742756496</v>
      </c>
      <c r="N112" s="61">
        <f t="shared" si="45"/>
        <v>1.1654066116000004</v>
      </c>
      <c r="O112" s="60">
        <f t="shared" si="46"/>
        <v>1.1695124736</v>
      </c>
      <c r="P112" s="61">
        <f t="shared" si="47"/>
        <v>1.1541204900000002</v>
      </c>
      <c r="Q112" s="60">
        <f t="shared" si="48"/>
        <v>1.1723901159999999</v>
      </c>
      <c r="R112" s="61">
        <f t="shared" si="49"/>
        <v>1.167954326</v>
      </c>
      <c r="S112" s="60">
        <f t="shared" si="50"/>
        <v>1.1700099359999998</v>
      </c>
      <c r="T112" s="61">
        <f t="shared" si="51"/>
        <v>1.1698327256000001</v>
      </c>
      <c r="U112" s="60">
        <f t="shared" si="52"/>
        <v>1.1718916415999998</v>
      </c>
      <c r="V112" s="61">
        <f t="shared" si="53"/>
        <v>1.1674577376000002</v>
      </c>
      <c r="W112" s="60">
        <f t="shared" si="54"/>
        <v>1.1622851699999999</v>
      </c>
      <c r="X112" s="61">
        <f t="shared" si="55"/>
        <v>1.164154452</v>
      </c>
      <c r="Y112" s="60">
        <f t="shared" si="56"/>
        <v>1.1597498220000002</v>
      </c>
      <c r="Z112" s="61">
        <f t="shared" si="57"/>
        <v>1.161790992</v>
      </c>
    </row>
    <row r="113" spans="2:26" x14ac:dyDescent="0.3">
      <c r="B113" s="9" t="s">
        <v>118</v>
      </c>
      <c r="C113" s="54">
        <v>1.0792999999999999</v>
      </c>
      <c r="D113" s="55">
        <v>1.079</v>
      </c>
      <c r="E113" s="54">
        <v>1.0806</v>
      </c>
      <c r="F113" s="54">
        <v>1.0767</v>
      </c>
      <c r="G113" s="82">
        <f t="shared" si="38"/>
        <v>1.0832999999999999</v>
      </c>
      <c r="H113" s="58">
        <f t="shared" si="39"/>
        <v>1.0849</v>
      </c>
      <c r="I113" s="59">
        <f t="shared" si="40"/>
        <v>1.0802399999999999</v>
      </c>
      <c r="J113" s="58">
        <f t="shared" si="41"/>
        <v>1.08168</v>
      </c>
      <c r="K113" s="59">
        <f t="shared" si="42"/>
        <v>1.0792999999999999</v>
      </c>
      <c r="L113" s="61">
        <f t="shared" si="43"/>
        <v>1.1735388899999999</v>
      </c>
      <c r="M113" s="60">
        <f t="shared" si="44"/>
        <v>1.17700801</v>
      </c>
      <c r="N113" s="61">
        <f t="shared" si="45"/>
        <v>1.1669184575999998</v>
      </c>
      <c r="O113" s="60">
        <f t="shared" si="46"/>
        <v>1.1700316224</v>
      </c>
      <c r="P113" s="61">
        <f t="shared" si="47"/>
        <v>1.1648884899999998</v>
      </c>
      <c r="Q113" s="60">
        <f t="shared" si="48"/>
        <v>1.1752721699999999</v>
      </c>
      <c r="R113" s="61">
        <f t="shared" si="49"/>
        <v>1.1702239919999997</v>
      </c>
      <c r="S113" s="60">
        <f t="shared" si="50"/>
        <v>1.171783944</v>
      </c>
      <c r="T113" s="61">
        <f t="shared" si="51"/>
        <v>1.1719523759999999</v>
      </c>
      <c r="U113" s="60">
        <f t="shared" si="52"/>
        <v>1.1735146319999998</v>
      </c>
      <c r="V113" s="61">
        <f t="shared" si="53"/>
        <v>1.1684740031999998</v>
      </c>
      <c r="W113" s="60">
        <f t="shared" si="54"/>
        <v>1.1692056899999999</v>
      </c>
      <c r="X113" s="61">
        <f t="shared" si="55"/>
        <v>1.17093257</v>
      </c>
      <c r="Y113" s="60">
        <f t="shared" si="56"/>
        <v>1.1659030319999997</v>
      </c>
      <c r="Z113" s="61">
        <f t="shared" si="57"/>
        <v>1.1674572239999998</v>
      </c>
    </row>
    <row r="114" spans="2:26" x14ac:dyDescent="0.3">
      <c r="B114" s="9" t="s">
        <v>119</v>
      </c>
      <c r="C114" s="54">
        <v>1.0787</v>
      </c>
      <c r="D114" s="55">
        <v>1.0827</v>
      </c>
      <c r="E114" s="54">
        <v>1.0828</v>
      </c>
      <c r="F114" s="54">
        <v>1.0773999999999999</v>
      </c>
      <c r="G114" s="82">
        <f t="shared" si="38"/>
        <v>1.08518</v>
      </c>
      <c r="H114" s="58">
        <f t="shared" si="39"/>
        <v>1.0871999999999999</v>
      </c>
      <c r="I114" s="59">
        <f t="shared" si="40"/>
        <v>1.08186</v>
      </c>
      <c r="J114" s="58">
        <f t="shared" si="41"/>
        <v>1.08314</v>
      </c>
      <c r="K114" s="59">
        <f t="shared" si="42"/>
        <v>1.0787</v>
      </c>
      <c r="L114" s="61">
        <f t="shared" si="43"/>
        <v>1.1776156324</v>
      </c>
      <c r="M114" s="60">
        <f t="shared" si="44"/>
        <v>1.1820038399999999</v>
      </c>
      <c r="N114" s="61">
        <f t="shared" si="45"/>
        <v>1.1704210596000002</v>
      </c>
      <c r="O114" s="60">
        <f t="shared" si="46"/>
        <v>1.1731922596</v>
      </c>
      <c r="P114" s="61">
        <f t="shared" si="47"/>
        <v>1.1635936899999999</v>
      </c>
      <c r="Q114" s="60">
        <f t="shared" si="48"/>
        <v>1.1798076959999999</v>
      </c>
      <c r="R114" s="61">
        <f t="shared" si="49"/>
        <v>1.1740128348000001</v>
      </c>
      <c r="S114" s="60">
        <f t="shared" si="50"/>
        <v>1.1754018652</v>
      </c>
      <c r="T114" s="61">
        <f t="shared" si="51"/>
        <v>1.176198192</v>
      </c>
      <c r="U114" s="60">
        <f t="shared" si="52"/>
        <v>1.177589808</v>
      </c>
      <c r="V114" s="61">
        <f t="shared" si="53"/>
        <v>1.1718058404</v>
      </c>
      <c r="W114" s="60">
        <f t="shared" si="54"/>
        <v>1.170583666</v>
      </c>
      <c r="X114" s="61">
        <f t="shared" si="55"/>
        <v>1.17276264</v>
      </c>
      <c r="Y114" s="60">
        <f t="shared" si="56"/>
        <v>1.1670023819999999</v>
      </c>
      <c r="Z114" s="61">
        <f t="shared" si="57"/>
        <v>1.1683831179999999</v>
      </c>
    </row>
    <row r="115" spans="2:26" x14ac:dyDescent="0.3">
      <c r="B115" s="9" t="s">
        <v>120</v>
      </c>
      <c r="C115" s="54">
        <v>1.0826</v>
      </c>
      <c r="D115" s="55">
        <v>1.0831999999999999</v>
      </c>
      <c r="E115" s="54">
        <v>1.0840000000000001</v>
      </c>
      <c r="F115" s="54">
        <v>1.081</v>
      </c>
      <c r="G115" s="82">
        <f t="shared" si="38"/>
        <v>1.0858200000000002</v>
      </c>
      <c r="H115" s="58">
        <f t="shared" si="39"/>
        <v>1.0888800000000001</v>
      </c>
      <c r="I115" s="59">
        <f t="shared" si="40"/>
        <v>1.0823800000000001</v>
      </c>
      <c r="J115" s="58">
        <f t="shared" si="41"/>
        <v>1.0849800000000001</v>
      </c>
      <c r="K115" s="59">
        <f t="shared" si="42"/>
        <v>1.0826</v>
      </c>
      <c r="L115" s="61">
        <f t="shared" si="43"/>
        <v>1.1790050724000005</v>
      </c>
      <c r="M115" s="60">
        <f t="shared" si="44"/>
        <v>1.1856596544000002</v>
      </c>
      <c r="N115" s="61">
        <f t="shared" si="45"/>
        <v>1.1715464644000002</v>
      </c>
      <c r="O115" s="60">
        <f t="shared" si="46"/>
        <v>1.1771816004000002</v>
      </c>
      <c r="P115" s="61">
        <f t="shared" si="47"/>
        <v>1.1720227599999999</v>
      </c>
      <c r="Q115" s="60">
        <f t="shared" si="48"/>
        <v>1.1823276816000003</v>
      </c>
      <c r="R115" s="61">
        <f t="shared" si="49"/>
        <v>1.1752698516000004</v>
      </c>
      <c r="S115" s="60">
        <f t="shared" si="50"/>
        <v>1.1780929836000003</v>
      </c>
      <c r="T115" s="61">
        <f t="shared" si="51"/>
        <v>1.1785819344000001</v>
      </c>
      <c r="U115" s="60">
        <f t="shared" si="52"/>
        <v>1.1814130224000001</v>
      </c>
      <c r="V115" s="61">
        <f t="shared" si="53"/>
        <v>1.1743606524000001</v>
      </c>
      <c r="W115" s="60">
        <f t="shared" si="54"/>
        <v>1.1755087320000002</v>
      </c>
      <c r="X115" s="61">
        <f t="shared" si="55"/>
        <v>1.1788214880000001</v>
      </c>
      <c r="Y115" s="60">
        <f t="shared" si="56"/>
        <v>1.1717845880000002</v>
      </c>
      <c r="Z115" s="61">
        <f t="shared" si="57"/>
        <v>1.1745993480000001</v>
      </c>
    </row>
    <row r="116" spans="2:26" x14ac:dyDescent="0.3">
      <c r="B116" s="9" t="s">
        <v>121</v>
      </c>
      <c r="C116" s="54">
        <v>1.083</v>
      </c>
      <c r="D116" s="55">
        <v>1.0838000000000001</v>
      </c>
      <c r="E116" s="54">
        <v>1.0865</v>
      </c>
      <c r="F116" s="54">
        <v>1.0824</v>
      </c>
      <c r="G116" s="82">
        <f t="shared" ref="G116:G171" si="58">AVERAGE(D117:D121)</f>
        <v>1.0865200000000002</v>
      </c>
      <c r="H116" s="58">
        <f t="shared" ref="H116:H172" si="59">AVERAGE(E117:E121)</f>
        <v>1.0891199999999999</v>
      </c>
      <c r="I116" s="59">
        <f t="shared" ref="I116:I172" si="60">AVERAGE(F117:F121)</f>
        <v>1.0825799999999999</v>
      </c>
      <c r="J116" s="58">
        <f t="shared" ref="J116:J172" si="61">AVERAGE(C117:C121)</f>
        <v>1.08568</v>
      </c>
      <c r="K116" s="59">
        <f t="shared" ref="K116:K171" si="62">C116</f>
        <v>1.083</v>
      </c>
      <c r="L116" s="61">
        <f t="shared" ref="L116:L171" si="63">G116^2</f>
        <v>1.1805257104000004</v>
      </c>
      <c r="M116" s="60">
        <f t="shared" ref="M116:M171" si="64">H116^2</f>
        <v>1.1861823743999997</v>
      </c>
      <c r="N116" s="61">
        <f t="shared" ref="N116:N172" si="65">I116^2</f>
        <v>1.1719794563999997</v>
      </c>
      <c r="O116" s="60">
        <f t="shared" ref="O116:O172" si="66">J116^2</f>
        <v>1.1787010624000001</v>
      </c>
      <c r="P116" s="61">
        <f t="shared" ref="P116:P172" si="67">K116^2</f>
        <v>1.1728889999999998</v>
      </c>
      <c r="Q116" s="60">
        <f t="shared" ref="Q116:Q172" si="68">G116*H116</f>
        <v>1.1833506624000001</v>
      </c>
      <c r="R116" s="61">
        <f t="shared" ref="R116:R172" si="69">G116*I116</f>
        <v>1.1762448216000001</v>
      </c>
      <c r="S116" s="60">
        <f t="shared" ref="S116:S172" si="70">G116*J116</f>
        <v>1.1796130336000001</v>
      </c>
      <c r="T116" s="61">
        <f t="shared" ref="T116:T172" si="71">H116*I116</f>
        <v>1.1790595295999997</v>
      </c>
      <c r="U116" s="60">
        <f t="shared" ref="U116:U172" si="72">H116*J116</f>
        <v>1.1824358015999998</v>
      </c>
      <c r="V116" s="61">
        <f t="shared" ref="V116:V172" si="73">I116*J116</f>
        <v>1.1753354543999999</v>
      </c>
      <c r="W116" s="60">
        <f t="shared" ref="W116:W172" si="74">G116*K116</f>
        <v>1.1767011600000001</v>
      </c>
      <c r="X116" s="61">
        <f t="shared" ref="X116:X172" si="75">H116*K116</f>
        <v>1.1795169599999997</v>
      </c>
      <c r="Y116" s="60">
        <f t="shared" ref="Y116:Y172" si="76">I116*K116</f>
        <v>1.1724341399999998</v>
      </c>
      <c r="Z116" s="61">
        <f t="shared" ref="Z116:Z172" si="77">J116*K116</f>
        <v>1.17579144</v>
      </c>
    </row>
    <row r="117" spans="2:26" x14ac:dyDescent="0.3">
      <c r="B117" s="9" t="s">
        <v>122</v>
      </c>
      <c r="C117" s="54">
        <v>1.0835999999999999</v>
      </c>
      <c r="D117" s="55">
        <v>1.0808</v>
      </c>
      <c r="E117" s="54">
        <v>1.0843</v>
      </c>
      <c r="F117" s="54">
        <v>1.0802</v>
      </c>
      <c r="G117" s="82">
        <f t="shared" si="58"/>
        <v>1.08822</v>
      </c>
      <c r="H117" s="58">
        <f t="shared" si="59"/>
        <v>1.0903800000000001</v>
      </c>
      <c r="I117" s="59">
        <f t="shared" si="60"/>
        <v>1.0838399999999999</v>
      </c>
      <c r="J117" s="58">
        <f t="shared" si="61"/>
        <v>1.0863800000000001</v>
      </c>
      <c r="K117" s="59">
        <f t="shared" si="62"/>
        <v>1.0835999999999999</v>
      </c>
      <c r="L117" s="61">
        <f t="shared" si="63"/>
        <v>1.1842227684</v>
      </c>
      <c r="M117" s="60">
        <f t="shared" si="64"/>
        <v>1.1889285444000002</v>
      </c>
      <c r="N117" s="61">
        <f t="shared" si="65"/>
        <v>1.1747091455999998</v>
      </c>
      <c r="O117" s="60">
        <f t="shared" si="66"/>
        <v>1.1802215044000002</v>
      </c>
      <c r="P117" s="61">
        <f t="shared" si="67"/>
        <v>1.1741889599999997</v>
      </c>
      <c r="Q117" s="60">
        <f t="shared" si="68"/>
        <v>1.1865733236</v>
      </c>
      <c r="R117" s="61">
        <f t="shared" si="69"/>
        <v>1.1794563647999998</v>
      </c>
      <c r="S117" s="60">
        <f t="shared" si="70"/>
        <v>1.1822204436000001</v>
      </c>
      <c r="T117" s="61">
        <f t="shared" si="71"/>
        <v>1.1817974592</v>
      </c>
      <c r="U117" s="60">
        <f t="shared" si="72"/>
        <v>1.1845670244000002</v>
      </c>
      <c r="V117" s="61">
        <f t="shared" si="73"/>
        <v>1.1774620992</v>
      </c>
      <c r="W117" s="60">
        <f t="shared" si="74"/>
        <v>1.1791951919999999</v>
      </c>
      <c r="X117" s="61">
        <f t="shared" si="75"/>
        <v>1.181535768</v>
      </c>
      <c r="Y117" s="60">
        <f t="shared" si="76"/>
        <v>1.1744490239999998</v>
      </c>
      <c r="Z117" s="61">
        <f t="shared" si="77"/>
        <v>1.177201368</v>
      </c>
    </row>
    <row r="118" spans="2:26" x14ac:dyDescent="0.3">
      <c r="B118" s="9" t="s">
        <v>123</v>
      </c>
      <c r="C118" s="54">
        <v>1.0805</v>
      </c>
      <c r="D118" s="55">
        <v>1.0860000000000001</v>
      </c>
      <c r="E118" s="54">
        <v>1.0869</v>
      </c>
      <c r="F118" s="54">
        <v>1.0802</v>
      </c>
      <c r="G118" s="82">
        <f t="shared" si="58"/>
        <v>1.0886800000000001</v>
      </c>
      <c r="H118" s="58">
        <f t="shared" si="59"/>
        <v>1.091</v>
      </c>
      <c r="I118" s="59">
        <f t="shared" si="60"/>
        <v>1.08524</v>
      </c>
      <c r="J118" s="58">
        <f t="shared" si="61"/>
        <v>1.08802</v>
      </c>
      <c r="K118" s="59">
        <f t="shared" si="62"/>
        <v>1.0805</v>
      </c>
      <c r="L118" s="61">
        <f t="shared" si="63"/>
        <v>1.1852241424000003</v>
      </c>
      <c r="M118" s="60">
        <f t="shared" si="64"/>
        <v>1.1902809999999999</v>
      </c>
      <c r="N118" s="61">
        <f t="shared" si="65"/>
        <v>1.1777458575999999</v>
      </c>
      <c r="O118" s="60">
        <f t="shared" si="66"/>
        <v>1.1837875203999999</v>
      </c>
      <c r="P118" s="61">
        <f t="shared" si="67"/>
        <v>1.1674802500000001</v>
      </c>
      <c r="Q118" s="60">
        <f t="shared" si="68"/>
        <v>1.1877498800000001</v>
      </c>
      <c r="R118" s="61">
        <f t="shared" si="69"/>
        <v>1.1814790832000002</v>
      </c>
      <c r="S118" s="60">
        <f t="shared" si="70"/>
        <v>1.1845056136000001</v>
      </c>
      <c r="T118" s="61">
        <f t="shared" si="71"/>
        <v>1.1839968400000001</v>
      </c>
      <c r="U118" s="60">
        <f t="shared" si="72"/>
        <v>1.18702982</v>
      </c>
      <c r="V118" s="61">
        <f t="shared" si="73"/>
        <v>1.1807628247999999</v>
      </c>
      <c r="W118" s="60">
        <f t="shared" si="74"/>
        <v>1.1763187400000001</v>
      </c>
      <c r="X118" s="61">
        <f t="shared" si="75"/>
        <v>1.1788255000000001</v>
      </c>
      <c r="Y118" s="60">
        <f t="shared" si="76"/>
        <v>1.1726018199999999</v>
      </c>
      <c r="Z118" s="61">
        <f t="shared" si="77"/>
        <v>1.1756056100000001</v>
      </c>
    </row>
    <row r="119" spans="2:26" x14ac:dyDescent="0.3">
      <c r="B119" s="9" t="s">
        <v>124</v>
      </c>
      <c r="C119" s="54">
        <v>1.0860000000000001</v>
      </c>
      <c r="D119" s="55">
        <v>1.0921000000000001</v>
      </c>
      <c r="E119" s="54">
        <v>1.0943000000000001</v>
      </c>
      <c r="F119" s="54">
        <v>1.0854999999999999</v>
      </c>
      <c r="G119" s="82">
        <f t="shared" si="58"/>
        <v>1.0892599999999999</v>
      </c>
      <c r="H119" s="58">
        <f t="shared" si="59"/>
        <v>1.0912399999999998</v>
      </c>
      <c r="I119" s="59">
        <f t="shared" si="60"/>
        <v>1.0857399999999999</v>
      </c>
      <c r="J119" s="58">
        <f t="shared" si="61"/>
        <v>1.0884399999999999</v>
      </c>
      <c r="K119" s="59">
        <f t="shared" si="62"/>
        <v>1.0860000000000001</v>
      </c>
      <c r="L119" s="61">
        <f t="shared" si="63"/>
        <v>1.1864873475999997</v>
      </c>
      <c r="M119" s="60">
        <f t="shared" si="64"/>
        <v>1.1908047375999995</v>
      </c>
      <c r="N119" s="61">
        <f t="shared" si="65"/>
        <v>1.1788313475999999</v>
      </c>
      <c r="O119" s="60">
        <f t="shared" si="66"/>
        <v>1.1847016335999996</v>
      </c>
      <c r="P119" s="61">
        <f t="shared" si="67"/>
        <v>1.1793960000000001</v>
      </c>
      <c r="Q119" s="60">
        <f t="shared" si="68"/>
        <v>1.1886440823999995</v>
      </c>
      <c r="R119" s="61">
        <f t="shared" si="69"/>
        <v>1.1826531523999999</v>
      </c>
      <c r="S119" s="60">
        <f t="shared" si="70"/>
        <v>1.1855941543999997</v>
      </c>
      <c r="T119" s="61">
        <f t="shared" si="71"/>
        <v>1.1848029175999997</v>
      </c>
      <c r="U119" s="60">
        <f t="shared" si="72"/>
        <v>1.1877492655999995</v>
      </c>
      <c r="V119" s="61">
        <f t="shared" si="73"/>
        <v>1.1817628455999998</v>
      </c>
      <c r="W119" s="60">
        <f t="shared" si="74"/>
        <v>1.18293636</v>
      </c>
      <c r="X119" s="61">
        <f t="shared" si="75"/>
        <v>1.1850866399999997</v>
      </c>
      <c r="Y119" s="60">
        <f t="shared" si="76"/>
        <v>1.17911364</v>
      </c>
      <c r="Z119" s="61">
        <f t="shared" si="77"/>
        <v>1.18204584</v>
      </c>
    </row>
    <row r="120" spans="2:26" x14ac:dyDescent="0.3">
      <c r="B120" s="9" t="s">
        <v>125</v>
      </c>
      <c r="C120" s="54">
        <v>1.0918000000000001</v>
      </c>
      <c r="D120" s="55">
        <v>1.0864</v>
      </c>
      <c r="E120" s="54">
        <v>1.0924</v>
      </c>
      <c r="F120" s="54">
        <v>1.0835999999999999</v>
      </c>
      <c r="G120" s="82">
        <f t="shared" si="58"/>
        <v>1.0905</v>
      </c>
      <c r="H120" s="58">
        <f t="shared" si="59"/>
        <v>1.0920399999999999</v>
      </c>
      <c r="I120" s="59">
        <f t="shared" si="60"/>
        <v>1.0874200000000003</v>
      </c>
      <c r="J120" s="58">
        <f t="shared" si="61"/>
        <v>1.089</v>
      </c>
      <c r="K120" s="59">
        <f t="shared" si="62"/>
        <v>1.0918000000000001</v>
      </c>
      <c r="L120" s="61">
        <f t="shared" si="63"/>
        <v>1.18919025</v>
      </c>
      <c r="M120" s="60">
        <f t="shared" si="64"/>
        <v>1.1925513615999999</v>
      </c>
      <c r="N120" s="61">
        <f t="shared" si="65"/>
        <v>1.1824822564000006</v>
      </c>
      <c r="O120" s="60">
        <f t="shared" si="66"/>
        <v>1.185921</v>
      </c>
      <c r="P120" s="61">
        <f t="shared" si="67"/>
        <v>1.1920272400000003</v>
      </c>
      <c r="Q120" s="60">
        <f t="shared" si="68"/>
        <v>1.19086962</v>
      </c>
      <c r="R120" s="61">
        <f t="shared" si="69"/>
        <v>1.1858315100000003</v>
      </c>
      <c r="S120" s="60">
        <f t="shared" si="70"/>
        <v>1.1875545000000001</v>
      </c>
      <c r="T120" s="61">
        <f t="shared" si="71"/>
        <v>1.1875061368000002</v>
      </c>
      <c r="U120" s="60">
        <f t="shared" si="72"/>
        <v>1.1892315599999999</v>
      </c>
      <c r="V120" s="61">
        <f t="shared" si="73"/>
        <v>1.1842003800000003</v>
      </c>
      <c r="W120" s="60">
        <f t="shared" si="74"/>
        <v>1.1906079000000001</v>
      </c>
      <c r="X120" s="61">
        <f t="shared" si="75"/>
        <v>1.192289272</v>
      </c>
      <c r="Y120" s="60">
        <f t="shared" si="76"/>
        <v>1.1872451560000004</v>
      </c>
      <c r="Z120" s="61">
        <f t="shared" si="77"/>
        <v>1.1889702</v>
      </c>
    </row>
    <row r="121" spans="2:26" x14ac:dyDescent="0.3">
      <c r="B121" s="9" t="s">
        <v>126</v>
      </c>
      <c r="C121" s="54">
        <v>1.0865</v>
      </c>
      <c r="D121" s="55">
        <v>1.0872999999999999</v>
      </c>
      <c r="E121" s="54">
        <v>1.0876999999999999</v>
      </c>
      <c r="F121" s="54">
        <v>1.0833999999999999</v>
      </c>
      <c r="G121" s="82">
        <f t="shared" si="58"/>
        <v>1.09154</v>
      </c>
      <c r="H121" s="58">
        <f t="shared" si="59"/>
        <v>1.0934200000000001</v>
      </c>
      <c r="I121" s="59">
        <f t="shared" si="60"/>
        <v>1.0887199999999999</v>
      </c>
      <c r="J121" s="58">
        <f t="shared" si="61"/>
        <v>1.0901799999999997</v>
      </c>
      <c r="K121" s="59">
        <f t="shared" si="62"/>
        <v>1.0865</v>
      </c>
      <c r="L121" s="61">
        <f t="shared" si="63"/>
        <v>1.1914595715999998</v>
      </c>
      <c r="M121" s="60">
        <f t="shared" si="64"/>
        <v>1.1955672964000001</v>
      </c>
      <c r="N121" s="61">
        <f t="shared" si="65"/>
        <v>1.1853112383999997</v>
      </c>
      <c r="O121" s="60">
        <f t="shared" si="66"/>
        <v>1.1884924323999995</v>
      </c>
      <c r="P121" s="61">
        <f t="shared" si="67"/>
        <v>1.1804822500000001</v>
      </c>
      <c r="Q121" s="60">
        <f t="shared" si="68"/>
        <v>1.1935116668000001</v>
      </c>
      <c r="R121" s="61">
        <f t="shared" si="69"/>
        <v>1.1883814287999999</v>
      </c>
      <c r="S121" s="60">
        <f t="shared" si="70"/>
        <v>1.1899750771999997</v>
      </c>
      <c r="T121" s="61">
        <f t="shared" si="71"/>
        <v>1.1904282224</v>
      </c>
      <c r="U121" s="60">
        <f t="shared" si="72"/>
        <v>1.1920246155999998</v>
      </c>
      <c r="V121" s="61">
        <f t="shared" si="73"/>
        <v>1.1869007695999996</v>
      </c>
      <c r="W121" s="60">
        <f t="shared" si="74"/>
        <v>1.1859582099999999</v>
      </c>
      <c r="X121" s="61">
        <f t="shared" si="75"/>
        <v>1.18800083</v>
      </c>
      <c r="Y121" s="60">
        <f t="shared" si="76"/>
        <v>1.18289428</v>
      </c>
      <c r="Z121" s="61">
        <f t="shared" si="77"/>
        <v>1.1844805699999996</v>
      </c>
    </row>
    <row r="122" spans="2:26" x14ac:dyDescent="0.3">
      <c r="B122" s="9" t="s">
        <v>127</v>
      </c>
      <c r="C122" s="54">
        <v>1.0871</v>
      </c>
      <c r="D122" s="55">
        <v>1.0892999999999999</v>
      </c>
      <c r="E122" s="54">
        <v>1.0906</v>
      </c>
      <c r="F122" s="54">
        <v>1.0865</v>
      </c>
      <c r="G122" s="82">
        <f t="shared" si="58"/>
        <v>1.0925600000000002</v>
      </c>
      <c r="H122" s="58">
        <f t="shared" si="59"/>
        <v>1.09426</v>
      </c>
      <c r="I122" s="59">
        <f t="shared" si="60"/>
        <v>1.0897000000000001</v>
      </c>
      <c r="J122" s="58">
        <f t="shared" si="61"/>
        <v>1.0912799999999998</v>
      </c>
      <c r="K122" s="59">
        <f t="shared" si="62"/>
        <v>1.0871</v>
      </c>
      <c r="L122" s="61">
        <f t="shared" si="63"/>
        <v>1.1936873536000003</v>
      </c>
      <c r="M122" s="60">
        <f t="shared" si="64"/>
        <v>1.1974049475999999</v>
      </c>
      <c r="N122" s="61">
        <f t="shared" si="65"/>
        <v>1.1874460900000003</v>
      </c>
      <c r="O122" s="60">
        <f t="shared" si="66"/>
        <v>1.1908920383999997</v>
      </c>
      <c r="P122" s="61">
        <f t="shared" si="67"/>
        <v>1.18178641</v>
      </c>
      <c r="Q122" s="60">
        <f t="shared" si="68"/>
        <v>1.1955447056000001</v>
      </c>
      <c r="R122" s="61">
        <f t="shared" si="69"/>
        <v>1.1905626320000002</v>
      </c>
      <c r="S122" s="60">
        <f t="shared" si="70"/>
        <v>1.1922888768</v>
      </c>
      <c r="T122" s="61">
        <f t="shared" si="71"/>
        <v>1.1924151220000001</v>
      </c>
      <c r="U122" s="60">
        <f t="shared" si="72"/>
        <v>1.1941440527999998</v>
      </c>
      <c r="V122" s="61">
        <f t="shared" si="73"/>
        <v>1.1891678159999999</v>
      </c>
      <c r="W122" s="60">
        <f t="shared" si="74"/>
        <v>1.1877219760000002</v>
      </c>
      <c r="X122" s="61">
        <f t="shared" si="75"/>
        <v>1.189570046</v>
      </c>
      <c r="Y122" s="60">
        <f t="shared" si="76"/>
        <v>1.18461287</v>
      </c>
      <c r="Z122" s="61">
        <f t="shared" si="77"/>
        <v>1.1863304879999998</v>
      </c>
    </row>
    <row r="123" spans="2:26" x14ac:dyDescent="0.3">
      <c r="B123" s="9" t="s">
        <v>128</v>
      </c>
      <c r="C123" s="54">
        <v>1.0887</v>
      </c>
      <c r="D123" s="55">
        <v>1.0883</v>
      </c>
      <c r="E123" s="54">
        <v>1.0900000000000001</v>
      </c>
      <c r="F123" s="54">
        <v>1.0871999999999999</v>
      </c>
      <c r="G123" s="82">
        <f t="shared" si="58"/>
        <v>1.0938600000000001</v>
      </c>
      <c r="H123" s="58">
        <f t="shared" si="59"/>
        <v>1.0959000000000001</v>
      </c>
      <c r="I123" s="59">
        <f t="shared" si="60"/>
        <v>1.0906400000000001</v>
      </c>
      <c r="J123" s="58">
        <f t="shared" si="61"/>
        <v>1.0922800000000001</v>
      </c>
      <c r="K123" s="59">
        <f t="shared" si="62"/>
        <v>1.0887</v>
      </c>
      <c r="L123" s="61">
        <f t="shared" si="63"/>
        <v>1.1965296996000001</v>
      </c>
      <c r="M123" s="60">
        <f t="shared" si="64"/>
        <v>1.2009968100000001</v>
      </c>
      <c r="N123" s="61">
        <f t="shared" si="65"/>
        <v>1.1894956096000002</v>
      </c>
      <c r="O123" s="60">
        <f t="shared" si="66"/>
        <v>1.1930755984000003</v>
      </c>
      <c r="P123" s="61">
        <f t="shared" si="67"/>
        <v>1.1852676900000001</v>
      </c>
      <c r="Q123" s="60">
        <f t="shared" si="68"/>
        <v>1.1987611740000002</v>
      </c>
      <c r="R123" s="61">
        <f t="shared" si="69"/>
        <v>1.1930074704000002</v>
      </c>
      <c r="S123" s="60">
        <f t="shared" si="70"/>
        <v>1.1948014008000003</v>
      </c>
      <c r="T123" s="61">
        <f t="shared" si="71"/>
        <v>1.1952323760000001</v>
      </c>
      <c r="U123" s="60">
        <f t="shared" si="72"/>
        <v>1.1970296520000003</v>
      </c>
      <c r="V123" s="61">
        <f t="shared" si="73"/>
        <v>1.1912842592000001</v>
      </c>
      <c r="W123" s="60">
        <f t="shared" si="74"/>
        <v>1.190885382</v>
      </c>
      <c r="X123" s="61">
        <f t="shared" si="75"/>
        <v>1.1931063300000002</v>
      </c>
      <c r="Y123" s="60">
        <f t="shared" si="76"/>
        <v>1.187379768</v>
      </c>
      <c r="Z123" s="61">
        <f t="shared" si="77"/>
        <v>1.1891652360000002</v>
      </c>
    </row>
    <row r="124" spans="2:26" s="1" customFormat="1" x14ac:dyDescent="0.3">
      <c r="B124" s="9" t="s">
        <v>129</v>
      </c>
      <c r="C124" s="54">
        <v>1.0881000000000001</v>
      </c>
      <c r="D124" s="55">
        <v>1.095</v>
      </c>
      <c r="E124" s="54">
        <v>1.0954999999999999</v>
      </c>
      <c r="F124" s="54">
        <v>1.0880000000000001</v>
      </c>
      <c r="G124" s="82">
        <f t="shared" si="58"/>
        <v>1.0928</v>
      </c>
      <c r="H124" s="58">
        <f t="shared" si="59"/>
        <v>1.0958000000000001</v>
      </c>
      <c r="I124" s="59">
        <f t="shared" si="60"/>
        <v>1.0904</v>
      </c>
      <c r="J124" s="58">
        <f t="shared" si="61"/>
        <v>1.09358</v>
      </c>
      <c r="K124" s="59">
        <f t="shared" si="62"/>
        <v>1.0881000000000001</v>
      </c>
      <c r="L124" s="61">
        <f t="shared" si="63"/>
        <v>1.1942118399999999</v>
      </c>
      <c r="M124" s="60">
        <f t="shared" si="64"/>
        <v>1.2007776400000003</v>
      </c>
      <c r="N124" s="61">
        <f t="shared" si="65"/>
        <v>1.1889721600000001</v>
      </c>
      <c r="O124" s="60">
        <f t="shared" si="66"/>
        <v>1.1959172164</v>
      </c>
      <c r="P124" s="61">
        <f t="shared" si="67"/>
        <v>1.1839616100000001</v>
      </c>
      <c r="Q124" s="60">
        <f t="shared" si="68"/>
        <v>1.19749024</v>
      </c>
      <c r="R124" s="61">
        <f t="shared" si="69"/>
        <v>1.1915891199999999</v>
      </c>
      <c r="S124" s="60">
        <f t="shared" si="70"/>
        <v>1.195064224</v>
      </c>
      <c r="T124" s="61">
        <f t="shared" si="71"/>
        <v>1.1948603200000001</v>
      </c>
      <c r="U124" s="60">
        <f t="shared" si="72"/>
        <v>1.1983449640000001</v>
      </c>
      <c r="V124" s="61">
        <f t="shared" si="73"/>
        <v>1.1924396320000001</v>
      </c>
      <c r="W124" s="60">
        <f t="shared" si="74"/>
        <v>1.18907568</v>
      </c>
      <c r="X124" s="61">
        <f t="shared" si="75"/>
        <v>1.1923399800000003</v>
      </c>
      <c r="Y124" s="60">
        <f t="shared" si="76"/>
        <v>1.1864642400000001</v>
      </c>
      <c r="Z124" s="61">
        <f t="shared" si="77"/>
        <v>1.189924398</v>
      </c>
    </row>
    <row r="125" spans="2:26" s="1" customFormat="1" x14ac:dyDescent="0.3">
      <c r="B125" s="9" t="s">
        <v>130</v>
      </c>
      <c r="C125" s="54">
        <v>1.0946</v>
      </c>
      <c r="D125" s="55">
        <v>1.0926</v>
      </c>
      <c r="E125" s="54">
        <v>1.0964</v>
      </c>
      <c r="F125" s="54">
        <v>1.0920000000000001</v>
      </c>
      <c r="G125" s="82">
        <f t="shared" si="58"/>
        <v>1.0914600000000001</v>
      </c>
      <c r="H125" s="58">
        <f t="shared" si="59"/>
        <v>1.09484</v>
      </c>
      <c r="I125" s="59">
        <f t="shared" si="60"/>
        <v>1.0888200000000001</v>
      </c>
      <c r="J125" s="58">
        <f t="shared" si="61"/>
        <v>1.0925999999999998</v>
      </c>
      <c r="K125" s="59">
        <f t="shared" si="62"/>
        <v>1.0946</v>
      </c>
      <c r="L125" s="61">
        <f t="shared" si="63"/>
        <v>1.1912849316000003</v>
      </c>
      <c r="M125" s="60">
        <f t="shared" si="64"/>
        <v>1.1986746256</v>
      </c>
      <c r="N125" s="61">
        <f t="shared" si="65"/>
        <v>1.1855289924000003</v>
      </c>
      <c r="O125" s="60">
        <f t="shared" si="66"/>
        <v>1.1937747599999995</v>
      </c>
      <c r="P125" s="61">
        <f t="shared" si="67"/>
        <v>1.19814916</v>
      </c>
      <c r="Q125" s="60">
        <f t="shared" si="68"/>
        <v>1.1949740664000001</v>
      </c>
      <c r="R125" s="61">
        <f t="shared" si="69"/>
        <v>1.1884034772000003</v>
      </c>
      <c r="S125" s="60">
        <f t="shared" si="70"/>
        <v>1.192529196</v>
      </c>
      <c r="T125" s="61">
        <f t="shared" si="71"/>
        <v>1.1920836888000002</v>
      </c>
      <c r="U125" s="60">
        <f t="shared" si="72"/>
        <v>1.1962221839999998</v>
      </c>
      <c r="V125" s="61">
        <f t="shared" si="73"/>
        <v>1.1896447319999999</v>
      </c>
      <c r="W125" s="60">
        <f t="shared" si="74"/>
        <v>1.194712116</v>
      </c>
      <c r="X125" s="61">
        <f t="shared" si="75"/>
        <v>1.1984118640000001</v>
      </c>
      <c r="Y125" s="60">
        <f t="shared" si="76"/>
        <v>1.1918223720000001</v>
      </c>
      <c r="Z125" s="61">
        <f t="shared" si="77"/>
        <v>1.1959599599999997</v>
      </c>
    </row>
    <row r="126" spans="2:26" s="1" customFormat="1" x14ac:dyDescent="0.3">
      <c r="B126" s="40">
        <v>45629</v>
      </c>
      <c r="C126" s="54">
        <v>1.0924</v>
      </c>
      <c r="D126" s="55">
        <v>1.0925</v>
      </c>
      <c r="E126" s="54">
        <v>1.0946</v>
      </c>
      <c r="F126" s="54">
        <v>1.0899000000000001</v>
      </c>
      <c r="G126" s="82">
        <f t="shared" si="58"/>
        <v>1.09006</v>
      </c>
      <c r="H126" s="58">
        <f t="shared" si="59"/>
        <v>1.0934599999999999</v>
      </c>
      <c r="I126" s="59">
        <f t="shared" si="60"/>
        <v>1.0876399999999999</v>
      </c>
      <c r="J126" s="58">
        <f t="shared" si="61"/>
        <v>1.0912199999999999</v>
      </c>
      <c r="K126" s="59">
        <f t="shared" si="62"/>
        <v>1.0924</v>
      </c>
      <c r="L126" s="61">
        <f t="shared" si="63"/>
        <v>1.1882308036</v>
      </c>
      <c r="M126" s="60">
        <f t="shared" si="64"/>
        <v>1.1956547715999997</v>
      </c>
      <c r="N126" s="61">
        <f t="shared" si="65"/>
        <v>1.1829607696</v>
      </c>
      <c r="O126" s="60">
        <f t="shared" si="66"/>
        <v>1.1907610883999997</v>
      </c>
      <c r="P126" s="61">
        <f t="shared" si="67"/>
        <v>1.1933377600000001</v>
      </c>
      <c r="Q126" s="60">
        <f t="shared" si="68"/>
        <v>1.1919370076</v>
      </c>
      <c r="R126" s="61">
        <f t="shared" si="69"/>
        <v>1.1855928583999999</v>
      </c>
      <c r="S126" s="60">
        <f t="shared" si="70"/>
        <v>1.1894952731999999</v>
      </c>
      <c r="T126" s="61">
        <f t="shared" si="71"/>
        <v>1.1892908343999997</v>
      </c>
      <c r="U126" s="60">
        <f t="shared" si="72"/>
        <v>1.1932054211999996</v>
      </c>
      <c r="V126" s="61">
        <f t="shared" si="73"/>
        <v>1.1868545207999999</v>
      </c>
      <c r="W126" s="60">
        <f t="shared" si="74"/>
        <v>1.190781544</v>
      </c>
      <c r="X126" s="61">
        <f t="shared" si="75"/>
        <v>1.1944957039999999</v>
      </c>
      <c r="Y126" s="60">
        <f t="shared" si="76"/>
        <v>1.188137936</v>
      </c>
      <c r="Z126" s="61">
        <f t="shared" si="77"/>
        <v>1.1920487279999998</v>
      </c>
    </row>
    <row r="127" spans="2:26" s="1" customFormat="1" x14ac:dyDescent="0.3">
      <c r="B127" s="40">
        <v>45599</v>
      </c>
      <c r="C127" s="54">
        <v>1.0926</v>
      </c>
      <c r="D127" s="55">
        <v>1.0944</v>
      </c>
      <c r="E127" s="54">
        <v>1.0948</v>
      </c>
      <c r="F127" s="54">
        <v>1.0913999999999999</v>
      </c>
      <c r="G127" s="82">
        <f t="shared" si="58"/>
        <v>1.08802</v>
      </c>
      <c r="H127" s="58">
        <f t="shared" si="59"/>
        <v>1.0918600000000001</v>
      </c>
      <c r="I127" s="59">
        <f t="shared" si="60"/>
        <v>1.08612</v>
      </c>
      <c r="J127" s="58">
        <f t="shared" si="61"/>
        <v>1.0897799999999997</v>
      </c>
      <c r="K127" s="59">
        <f t="shared" si="62"/>
        <v>1.0926</v>
      </c>
      <c r="L127" s="61">
        <f t="shared" si="63"/>
        <v>1.1837875203999999</v>
      </c>
      <c r="M127" s="60">
        <f t="shared" si="64"/>
        <v>1.1921582596000002</v>
      </c>
      <c r="N127" s="61">
        <f t="shared" si="65"/>
        <v>1.1796566544</v>
      </c>
      <c r="O127" s="60">
        <f t="shared" si="66"/>
        <v>1.1876204483999995</v>
      </c>
      <c r="P127" s="61">
        <f t="shared" si="67"/>
        <v>1.1937747599999999</v>
      </c>
      <c r="Q127" s="60">
        <f t="shared" si="68"/>
        <v>1.1879655172000001</v>
      </c>
      <c r="R127" s="61">
        <f t="shared" si="69"/>
        <v>1.1817202823999999</v>
      </c>
      <c r="S127" s="60">
        <f t="shared" si="70"/>
        <v>1.1857024355999997</v>
      </c>
      <c r="T127" s="61">
        <f t="shared" si="71"/>
        <v>1.1858909832</v>
      </c>
      <c r="U127" s="60">
        <f t="shared" si="72"/>
        <v>1.1898871907999997</v>
      </c>
      <c r="V127" s="61">
        <f t="shared" si="73"/>
        <v>1.1836318535999997</v>
      </c>
      <c r="W127" s="60">
        <f t="shared" si="74"/>
        <v>1.1887706520000001</v>
      </c>
      <c r="X127" s="61">
        <f t="shared" si="75"/>
        <v>1.1929662360000002</v>
      </c>
      <c r="Y127" s="60">
        <f t="shared" si="76"/>
        <v>1.186694712</v>
      </c>
      <c r="Z127" s="61">
        <f t="shared" si="77"/>
        <v>1.1906936279999998</v>
      </c>
    </row>
    <row r="128" spans="2:26" s="1" customFormat="1" x14ac:dyDescent="0.3">
      <c r="B128" s="40">
        <v>45507</v>
      </c>
      <c r="C128" s="54">
        <v>1.0936999999999999</v>
      </c>
      <c r="D128" s="55">
        <v>1.0948</v>
      </c>
      <c r="E128" s="54">
        <v>1.0982000000000001</v>
      </c>
      <c r="F128" s="54">
        <v>1.0919000000000001</v>
      </c>
      <c r="G128" s="82">
        <f t="shared" si="58"/>
        <v>1.08514</v>
      </c>
      <c r="H128" s="58">
        <f t="shared" si="59"/>
        <v>1.0890999999999997</v>
      </c>
      <c r="I128" s="59">
        <f t="shared" si="60"/>
        <v>1.08368</v>
      </c>
      <c r="J128" s="58">
        <f t="shared" si="61"/>
        <v>1.08778</v>
      </c>
      <c r="K128" s="59">
        <f t="shared" si="62"/>
        <v>1.0936999999999999</v>
      </c>
      <c r="L128" s="61">
        <f t="shared" si="63"/>
        <v>1.1775288196</v>
      </c>
      <c r="M128" s="60">
        <f t="shared" si="64"/>
        <v>1.1861388099999994</v>
      </c>
      <c r="N128" s="61">
        <f t="shared" si="65"/>
        <v>1.1743623424</v>
      </c>
      <c r="O128" s="60">
        <f t="shared" si="66"/>
        <v>1.1832653283999999</v>
      </c>
      <c r="P128" s="61">
        <f t="shared" si="67"/>
        <v>1.1961796899999997</v>
      </c>
      <c r="Q128" s="60">
        <f t="shared" si="68"/>
        <v>1.1818259739999997</v>
      </c>
      <c r="R128" s="61">
        <f t="shared" si="69"/>
        <v>1.1759445151999999</v>
      </c>
      <c r="S128" s="60">
        <f t="shared" si="70"/>
        <v>1.1803935891999999</v>
      </c>
      <c r="T128" s="61">
        <f t="shared" si="71"/>
        <v>1.1802358879999997</v>
      </c>
      <c r="U128" s="60">
        <f t="shared" si="72"/>
        <v>1.1847011979999997</v>
      </c>
      <c r="V128" s="61">
        <f t="shared" si="73"/>
        <v>1.1788054304</v>
      </c>
      <c r="W128" s="60">
        <f t="shared" si="74"/>
        <v>1.1868176179999999</v>
      </c>
      <c r="X128" s="61">
        <f t="shared" si="75"/>
        <v>1.1911486699999996</v>
      </c>
      <c r="Y128" s="60">
        <f t="shared" si="76"/>
        <v>1.185220816</v>
      </c>
      <c r="Z128" s="61">
        <f t="shared" si="77"/>
        <v>1.1897049859999997</v>
      </c>
    </row>
    <row r="129" spans="2:26" s="1" customFormat="1" x14ac:dyDescent="0.3">
      <c r="B129" s="40">
        <v>45476</v>
      </c>
      <c r="C129" s="54">
        <v>1.0946</v>
      </c>
      <c r="D129" s="55">
        <v>1.0896999999999999</v>
      </c>
      <c r="E129" s="54">
        <v>1.095</v>
      </c>
      <c r="F129" s="54">
        <v>1.0868</v>
      </c>
      <c r="G129" s="82">
        <f t="shared" si="58"/>
        <v>1.08392</v>
      </c>
      <c r="H129" s="58">
        <f t="shared" si="59"/>
        <v>1.08724</v>
      </c>
      <c r="I129" s="59">
        <f t="shared" si="60"/>
        <v>1.08222</v>
      </c>
      <c r="J129" s="58">
        <f t="shared" si="61"/>
        <v>1.0849199999999999</v>
      </c>
      <c r="K129" s="59">
        <f t="shared" si="62"/>
        <v>1.0946</v>
      </c>
      <c r="L129" s="61">
        <f t="shared" si="63"/>
        <v>1.1748825664</v>
      </c>
      <c r="M129" s="60">
        <f t="shared" si="64"/>
        <v>1.1820908176</v>
      </c>
      <c r="N129" s="61">
        <f t="shared" si="65"/>
        <v>1.1712001284</v>
      </c>
      <c r="O129" s="60">
        <f t="shared" si="66"/>
        <v>1.1770514063999997</v>
      </c>
      <c r="P129" s="61">
        <f t="shared" si="67"/>
        <v>1.19814916</v>
      </c>
      <c r="Q129" s="60">
        <f t="shared" si="68"/>
        <v>1.1784811808</v>
      </c>
      <c r="R129" s="61">
        <f t="shared" si="69"/>
        <v>1.1730399024</v>
      </c>
      <c r="S129" s="60">
        <f t="shared" si="70"/>
        <v>1.1759664863999999</v>
      </c>
      <c r="T129" s="61">
        <f t="shared" si="71"/>
        <v>1.1766328728</v>
      </c>
      <c r="U129" s="60">
        <f t="shared" si="72"/>
        <v>1.1795684207999999</v>
      </c>
      <c r="V129" s="61">
        <f t="shared" si="73"/>
        <v>1.1741221223999998</v>
      </c>
      <c r="W129" s="60">
        <f t="shared" si="74"/>
        <v>1.186458832</v>
      </c>
      <c r="X129" s="61">
        <f t="shared" si="75"/>
        <v>1.1900929039999999</v>
      </c>
      <c r="Y129" s="60">
        <f t="shared" si="76"/>
        <v>1.1845980119999999</v>
      </c>
      <c r="Z129" s="61">
        <f t="shared" si="77"/>
        <v>1.1875534319999999</v>
      </c>
    </row>
    <row r="130" spans="2:26" s="1" customFormat="1" x14ac:dyDescent="0.3">
      <c r="B130" s="40">
        <v>45446</v>
      </c>
      <c r="C130" s="54">
        <v>1.0896999999999999</v>
      </c>
      <c r="D130" s="55">
        <v>1.0859000000000001</v>
      </c>
      <c r="E130" s="54">
        <v>1.0915999999999999</v>
      </c>
      <c r="F130" s="54">
        <v>1.0841000000000001</v>
      </c>
      <c r="G130" s="82">
        <f t="shared" si="58"/>
        <v>1.0836199999999998</v>
      </c>
      <c r="H130" s="58">
        <f t="shared" si="59"/>
        <v>1.08588</v>
      </c>
      <c r="I130" s="59">
        <f t="shared" si="60"/>
        <v>1.0813200000000001</v>
      </c>
      <c r="J130" s="58">
        <f t="shared" si="61"/>
        <v>1.0836999999999999</v>
      </c>
      <c r="K130" s="59">
        <f t="shared" si="62"/>
        <v>1.0896999999999999</v>
      </c>
      <c r="L130" s="61">
        <f t="shared" si="63"/>
        <v>1.1742323043999996</v>
      </c>
      <c r="M130" s="60">
        <f t="shared" si="64"/>
        <v>1.1791353743999999</v>
      </c>
      <c r="N130" s="61">
        <f t="shared" si="65"/>
        <v>1.1692529424000002</v>
      </c>
      <c r="O130" s="60">
        <f t="shared" si="66"/>
        <v>1.1744056899999997</v>
      </c>
      <c r="P130" s="61">
        <f t="shared" si="67"/>
        <v>1.1874460899999997</v>
      </c>
      <c r="Q130" s="60">
        <f t="shared" si="68"/>
        <v>1.1766812855999997</v>
      </c>
      <c r="R130" s="61">
        <f t="shared" si="69"/>
        <v>1.1717399783999998</v>
      </c>
      <c r="S130" s="60">
        <f t="shared" si="70"/>
        <v>1.1743189939999996</v>
      </c>
      <c r="T130" s="61">
        <f t="shared" si="71"/>
        <v>1.1741837615999999</v>
      </c>
      <c r="U130" s="60">
        <f t="shared" si="72"/>
        <v>1.1767681559999998</v>
      </c>
      <c r="V130" s="61">
        <f t="shared" si="73"/>
        <v>1.1718264839999999</v>
      </c>
      <c r="W130" s="60">
        <f t="shared" si="74"/>
        <v>1.1808207139999998</v>
      </c>
      <c r="X130" s="61">
        <f t="shared" si="75"/>
        <v>1.1832834359999997</v>
      </c>
      <c r="Y130" s="60">
        <f t="shared" si="76"/>
        <v>1.178314404</v>
      </c>
      <c r="Z130" s="61">
        <f t="shared" si="77"/>
        <v>1.1809078899999998</v>
      </c>
    </row>
    <row r="131" spans="2:26" s="1" customFormat="1" x14ac:dyDescent="0.3">
      <c r="B131" s="40">
        <v>45415</v>
      </c>
      <c r="C131" s="54">
        <v>1.0854999999999999</v>
      </c>
      <c r="D131" s="55">
        <v>1.0854999999999999</v>
      </c>
      <c r="E131" s="54">
        <v>1.0876999999999999</v>
      </c>
      <c r="F131" s="54">
        <v>1.0840000000000001</v>
      </c>
      <c r="G131" s="82">
        <f t="shared" si="58"/>
        <v>1.0835199999999998</v>
      </c>
      <c r="H131" s="58">
        <f t="shared" si="59"/>
        <v>1.08568</v>
      </c>
      <c r="I131" s="59">
        <f t="shared" si="60"/>
        <v>1.0811599999999999</v>
      </c>
      <c r="J131" s="58">
        <f t="shared" si="61"/>
        <v>1.0834800000000002</v>
      </c>
      <c r="K131" s="59">
        <f t="shared" si="62"/>
        <v>1.0854999999999999</v>
      </c>
      <c r="L131" s="61">
        <f t="shared" si="63"/>
        <v>1.1740155903999996</v>
      </c>
      <c r="M131" s="60">
        <f t="shared" si="64"/>
        <v>1.1787010624000001</v>
      </c>
      <c r="N131" s="61">
        <f t="shared" si="65"/>
        <v>1.1689069455999999</v>
      </c>
      <c r="O131" s="60">
        <f t="shared" si="66"/>
        <v>1.1739289104000006</v>
      </c>
      <c r="P131" s="61">
        <f t="shared" si="67"/>
        <v>1.1783102499999998</v>
      </c>
      <c r="Q131" s="60">
        <f t="shared" si="68"/>
        <v>1.1763559935999999</v>
      </c>
      <c r="R131" s="61">
        <f t="shared" si="69"/>
        <v>1.1714584831999997</v>
      </c>
      <c r="S131" s="60">
        <f t="shared" si="70"/>
        <v>1.1739722496</v>
      </c>
      <c r="T131" s="61">
        <f t="shared" si="71"/>
        <v>1.1737937887999998</v>
      </c>
      <c r="U131" s="60">
        <f t="shared" si="72"/>
        <v>1.1763125664000003</v>
      </c>
      <c r="V131" s="61">
        <f t="shared" si="73"/>
        <v>1.1714152368000001</v>
      </c>
      <c r="W131" s="60">
        <f t="shared" si="74"/>
        <v>1.1761609599999998</v>
      </c>
      <c r="X131" s="61">
        <f t="shared" si="75"/>
        <v>1.1785056399999998</v>
      </c>
      <c r="Y131" s="60">
        <f t="shared" si="76"/>
        <v>1.1735991799999999</v>
      </c>
      <c r="Z131" s="61">
        <f t="shared" si="77"/>
        <v>1.1761175400000001</v>
      </c>
    </row>
    <row r="132" spans="2:26" x14ac:dyDescent="0.3">
      <c r="B132" s="40">
        <v>45385</v>
      </c>
      <c r="C132" s="54">
        <v>1.0853999999999999</v>
      </c>
      <c r="D132" s="55">
        <v>1.0842000000000001</v>
      </c>
      <c r="E132" s="54">
        <v>1.0868</v>
      </c>
      <c r="F132" s="54">
        <v>1.0838000000000001</v>
      </c>
      <c r="G132" s="82">
        <f t="shared" si="58"/>
        <v>1.0831999999999999</v>
      </c>
      <c r="H132" s="58">
        <f t="shared" si="59"/>
        <v>1.0855399999999999</v>
      </c>
      <c r="I132" s="59">
        <f t="shared" si="60"/>
        <v>1.08064</v>
      </c>
      <c r="J132" s="58">
        <f t="shared" si="61"/>
        <v>1.0833400000000002</v>
      </c>
      <c r="K132" s="59">
        <f t="shared" si="62"/>
        <v>1.0853999999999999</v>
      </c>
      <c r="L132" s="61">
        <f t="shared" si="63"/>
        <v>1.1733222399999998</v>
      </c>
      <c r="M132" s="60">
        <f t="shared" si="64"/>
        <v>1.1783970915999999</v>
      </c>
      <c r="N132" s="61">
        <f t="shared" si="65"/>
        <v>1.1677828096</v>
      </c>
      <c r="O132" s="60">
        <f t="shared" si="66"/>
        <v>1.1736255556000004</v>
      </c>
      <c r="P132" s="61">
        <f t="shared" si="67"/>
        <v>1.1780931599999998</v>
      </c>
      <c r="Q132" s="60">
        <f t="shared" si="68"/>
        <v>1.175856928</v>
      </c>
      <c r="R132" s="61">
        <f t="shared" si="69"/>
        <v>1.1705492479999999</v>
      </c>
      <c r="S132" s="60">
        <f t="shared" si="70"/>
        <v>1.1734738880000002</v>
      </c>
      <c r="T132" s="61">
        <f t="shared" si="71"/>
        <v>1.1730779456</v>
      </c>
      <c r="U132" s="60">
        <f t="shared" si="72"/>
        <v>1.1760089036000001</v>
      </c>
      <c r="V132" s="61">
        <f t="shared" si="73"/>
        <v>1.1707005376000001</v>
      </c>
      <c r="W132" s="60">
        <f t="shared" si="74"/>
        <v>1.1757052799999999</v>
      </c>
      <c r="X132" s="61">
        <f t="shared" si="75"/>
        <v>1.1782451159999998</v>
      </c>
      <c r="Y132" s="60">
        <f t="shared" si="76"/>
        <v>1.172926656</v>
      </c>
      <c r="Z132" s="61">
        <f t="shared" si="77"/>
        <v>1.1758572360000001</v>
      </c>
    </row>
    <row r="133" spans="2:26" x14ac:dyDescent="0.3">
      <c r="B133" s="40">
        <v>45294</v>
      </c>
      <c r="C133" s="54">
        <v>1.0837000000000001</v>
      </c>
      <c r="D133" s="55">
        <v>1.0804</v>
      </c>
      <c r="E133" s="54">
        <v>1.0844</v>
      </c>
      <c r="F133" s="54">
        <v>1.0797000000000001</v>
      </c>
      <c r="G133" s="82">
        <f t="shared" si="58"/>
        <v>1.0836000000000001</v>
      </c>
      <c r="H133" s="58">
        <f t="shared" si="59"/>
        <v>1.08548</v>
      </c>
      <c r="I133" s="59">
        <f t="shared" si="60"/>
        <v>1.0809399999999998</v>
      </c>
      <c r="J133" s="58">
        <f t="shared" si="61"/>
        <v>1.0829600000000001</v>
      </c>
      <c r="K133" s="59">
        <f t="shared" si="62"/>
        <v>1.0837000000000001</v>
      </c>
      <c r="L133" s="61">
        <f t="shared" si="63"/>
        <v>1.1741889600000002</v>
      </c>
      <c r="M133" s="60">
        <f t="shared" si="64"/>
        <v>1.1782668303999999</v>
      </c>
      <c r="N133" s="61">
        <f t="shared" si="65"/>
        <v>1.1684312835999995</v>
      </c>
      <c r="O133" s="60">
        <f t="shared" si="66"/>
        <v>1.1728023616000003</v>
      </c>
      <c r="P133" s="61">
        <f t="shared" si="67"/>
        <v>1.1744056900000002</v>
      </c>
      <c r="Q133" s="60">
        <f t="shared" si="68"/>
        <v>1.1762261280000001</v>
      </c>
      <c r="R133" s="61">
        <f t="shared" si="69"/>
        <v>1.1713065839999999</v>
      </c>
      <c r="S133" s="60">
        <f t="shared" si="70"/>
        <v>1.1734954560000004</v>
      </c>
      <c r="T133" s="61">
        <f t="shared" si="71"/>
        <v>1.1733387511999998</v>
      </c>
      <c r="U133" s="60">
        <f t="shared" si="72"/>
        <v>1.1755314208000001</v>
      </c>
      <c r="V133" s="61">
        <f t="shared" si="73"/>
        <v>1.1706147823999999</v>
      </c>
      <c r="W133" s="60">
        <f t="shared" si="74"/>
        <v>1.1742973200000002</v>
      </c>
      <c r="X133" s="61">
        <f t="shared" si="75"/>
        <v>1.1763346760000002</v>
      </c>
      <c r="Y133" s="60">
        <f t="shared" si="76"/>
        <v>1.1714146779999999</v>
      </c>
      <c r="Z133" s="61">
        <f t="shared" si="77"/>
        <v>1.1736037520000002</v>
      </c>
    </row>
    <row r="134" spans="2:26" x14ac:dyDescent="0.3">
      <c r="B134" s="9" t="s">
        <v>131</v>
      </c>
      <c r="C134" s="54">
        <v>1.0803</v>
      </c>
      <c r="D134" s="55">
        <v>1.0835999999999999</v>
      </c>
      <c r="E134" s="54">
        <v>1.0857000000000001</v>
      </c>
      <c r="F134" s="54">
        <v>1.0794999999999999</v>
      </c>
      <c r="G134" s="82">
        <f t="shared" si="58"/>
        <v>1.0831999999999999</v>
      </c>
      <c r="H134" s="58">
        <f t="shared" si="59"/>
        <v>1.08612</v>
      </c>
      <c r="I134" s="59">
        <f t="shared" si="60"/>
        <v>1.08108</v>
      </c>
      <c r="J134" s="58">
        <f t="shared" si="61"/>
        <v>1.0833600000000001</v>
      </c>
      <c r="K134" s="59">
        <f t="shared" si="62"/>
        <v>1.0803</v>
      </c>
      <c r="L134" s="61">
        <f t="shared" si="63"/>
        <v>1.1733222399999998</v>
      </c>
      <c r="M134" s="60">
        <f t="shared" si="64"/>
        <v>1.1796566544</v>
      </c>
      <c r="N134" s="61">
        <f t="shared" si="65"/>
        <v>1.1687339664</v>
      </c>
      <c r="O134" s="60">
        <f t="shared" si="66"/>
        <v>1.1736688896000003</v>
      </c>
      <c r="P134" s="61">
        <f t="shared" si="67"/>
        <v>1.16704809</v>
      </c>
      <c r="Q134" s="60">
        <f t="shared" si="68"/>
        <v>1.1764851839999999</v>
      </c>
      <c r="R134" s="61">
        <f t="shared" si="69"/>
        <v>1.171025856</v>
      </c>
      <c r="S134" s="60">
        <f t="shared" si="70"/>
        <v>1.1734955520000001</v>
      </c>
      <c r="T134" s="61">
        <f t="shared" si="71"/>
        <v>1.1741826096000001</v>
      </c>
      <c r="U134" s="60">
        <f t="shared" si="72"/>
        <v>1.1766589632000002</v>
      </c>
      <c r="V134" s="61">
        <f t="shared" si="73"/>
        <v>1.1711988288000001</v>
      </c>
      <c r="W134" s="60">
        <f t="shared" si="74"/>
        <v>1.1701809599999999</v>
      </c>
      <c r="X134" s="61">
        <f t="shared" si="75"/>
        <v>1.1733354360000001</v>
      </c>
      <c r="Y134" s="60">
        <f t="shared" si="76"/>
        <v>1.167890724</v>
      </c>
      <c r="Z134" s="61">
        <f t="shared" si="77"/>
        <v>1.1703538080000002</v>
      </c>
    </row>
    <row r="135" spans="2:26" x14ac:dyDescent="0.3">
      <c r="B135" s="9" t="s">
        <v>132</v>
      </c>
      <c r="C135" s="54">
        <v>1.0835999999999999</v>
      </c>
      <c r="D135" s="55">
        <v>1.0844</v>
      </c>
      <c r="E135" s="54">
        <v>1.0848</v>
      </c>
      <c r="F135" s="54">
        <v>1.0795999999999999</v>
      </c>
      <c r="G135" s="82">
        <f t="shared" si="58"/>
        <v>1.08246</v>
      </c>
      <c r="H135" s="58">
        <f t="shared" si="59"/>
        <v>1.0856600000000001</v>
      </c>
      <c r="I135" s="59">
        <f t="shared" si="60"/>
        <v>1.0809599999999997</v>
      </c>
      <c r="J135" s="58">
        <f t="shared" si="61"/>
        <v>1.0829800000000003</v>
      </c>
      <c r="K135" s="59">
        <f t="shared" si="62"/>
        <v>1.0835999999999999</v>
      </c>
      <c r="L135" s="61">
        <f t="shared" si="63"/>
        <v>1.1717196515999999</v>
      </c>
      <c r="M135" s="60">
        <f t="shared" si="64"/>
        <v>1.1786576356000003</v>
      </c>
      <c r="N135" s="61">
        <f t="shared" si="65"/>
        <v>1.1684745215999994</v>
      </c>
      <c r="O135" s="60">
        <f t="shared" si="66"/>
        <v>1.1728456804000007</v>
      </c>
      <c r="P135" s="61">
        <f t="shared" si="67"/>
        <v>1.1741889599999997</v>
      </c>
      <c r="Q135" s="60">
        <f t="shared" si="68"/>
        <v>1.1751835236000001</v>
      </c>
      <c r="R135" s="61">
        <f t="shared" si="69"/>
        <v>1.1700959615999997</v>
      </c>
      <c r="S135" s="60">
        <f t="shared" si="70"/>
        <v>1.1722825308000002</v>
      </c>
      <c r="T135" s="61">
        <f t="shared" si="71"/>
        <v>1.1735550335999998</v>
      </c>
      <c r="U135" s="60">
        <f t="shared" si="72"/>
        <v>1.1757480668000004</v>
      </c>
      <c r="V135" s="61">
        <f t="shared" si="73"/>
        <v>1.1706580607999999</v>
      </c>
      <c r="W135" s="60">
        <f t="shared" si="74"/>
        <v>1.1729536559999998</v>
      </c>
      <c r="X135" s="61">
        <f t="shared" si="75"/>
        <v>1.1764211760000001</v>
      </c>
      <c r="Y135" s="60">
        <f t="shared" si="76"/>
        <v>1.1713282559999996</v>
      </c>
      <c r="Z135" s="61">
        <f t="shared" si="77"/>
        <v>1.1735171280000001</v>
      </c>
    </row>
    <row r="136" spans="2:26" x14ac:dyDescent="0.3">
      <c r="B136" s="9" t="s">
        <v>133</v>
      </c>
      <c r="C136" s="54">
        <v>1.0844</v>
      </c>
      <c r="D136" s="55">
        <v>1.085</v>
      </c>
      <c r="E136" s="54">
        <v>1.0867</v>
      </c>
      <c r="F136" s="54">
        <v>1.0831999999999999</v>
      </c>
      <c r="G136" s="82">
        <f t="shared" si="58"/>
        <v>1.0810400000000002</v>
      </c>
      <c r="H136" s="58">
        <f t="shared" si="59"/>
        <v>1.0851199999999999</v>
      </c>
      <c r="I136" s="59">
        <f t="shared" si="60"/>
        <v>1.0795400000000002</v>
      </c>
      <c r="J136" s="58">
        <f t="shared" si="61"/>
        <v>1.0821600000000002</v>
      </c>
      <c r="K136" s="59">
        <f t="shared" si="62"/>
        <v>1.0844</v>
      </c>
      <c r="L136" s="61">
        <f t="shared" si="63"/>
        <v>1.1686474816000005</v>
      </c>
      <c r="M136" s="60">
        <f t="shared" si="64"/>
        <v>1.1774854143999998</v>
      </c>
      <c r="N136" s="61">
        <f t="shared" si="65"/>
        <v>1.1654066116000004</v>
      </c>
      <c r="O136" s="60">
        <f t="shared" si="66"/>
        <v>1.1710702656000005</v>
      </c>
      <c r="P136" s="61">
        <f t="shared" si="67"/>
        <v>1.1759233600000001</v>
      </c>
      <c r="Q136" s="60">
        <f t="shared" si="68"/>
        <v>1.1730581248</v>
      </c>
      <c r="R136" s="61">
        <f t="shared" si="69"/>
        <v>1.1670259216000005</v>
      </c>
      <c r="S136" s="60">
        <f t="shared" si="70"/>
        <v>1.1698582464000005</v>
      </c>
      <c r="T136" s="61">
        <f t="shared" si="71"/>
        <v>1.1714304448000001</v>
      </c>
      <c r="U136" s="60">
        <f t="shared" si="72"/>
        <v>1.1742734592000001</v>
      </c>
      <c r="V136" s="61">
        <f t="shared" si="73"/>
        <v>1.1682350064000004</v>
      </c>
      <c r="W136" s="60">
        <f t="shared" si="74"/>
        <v>1.1722797760000003</v>
      </c>
      <c r="X136" s="61">
        <f t="shared" si="75"/>
        <v>1.1767041279999999</v>
      </c>
      <c r="Y136" s="60">
        <f t="shared" si="76"/>
        <v>1.1706531760000003</v>
      </c>
      <c r="Z136" s="61">
        <f t="shared" si="77"/>
        <v>1.1734943040000003</v>
      </c>
    </row>
    <row r="137" spans="2:26" x14ac:dyDescent="0.3">
      <c r="B137" s="9" t="s">
        <v>134</v>
      </c>
      <c r="C137" s="54">
        <v>1.0847</v>
      </c>
      <c r="D137" s="55">
        <v>1.0826</v>
      </c>
      <c r="E137" s="54">
        <v>1.0861000000000001</v>
      </c>
      <c r="F137" s="54">
        <v>1.0811999999999999</v>
      </c>
      <c r="G137" s="82">
        <f t="shared" si="58"/>
        <v>1.0800399999999999</v>
      </c>
      <c r="H137" s="58">
        <f t="shared" si="59"/>
        <v>1.0836999999999999</v>
      </c>
      <c r="I137" s="59">
        <f t="shared" si="60"/>
        <v>1.0785200000000001</v>
      </c>
      <c r="J137" s="58">
        <f t="shared" si="61"/>
        <v>1.0807600000000002</v>
      </c>
      <c r="K137" s="59">
        <f t="shared" si="62"/>
        <v>1.0847</v>
      </c>
      <c r="L137" s="61">
        <f t="shared" si="63"/>
        <v>1.1664864015999998</v>
      </c>
      <c r="M137" s="60">
        <f t="shared" si="64"/>
        <v>1.1744056899999997</v>
      </c>
      <c r="N137" s="61">
        <f t="shared" si="65"/>
        <v>1.1632053904000004</v>
      </c>
      <c r="O137" s="60">
        <f t="shared" si="66"/>
        <v>1.1680421776000003</v>
      </c>
      <c r="P137" s="61">
        <f t="shared" si="67"/>
        <v>1.1765740899999999</v>
      </c>
      <c r="Q137" s="60">
        <f t="shared" si="68"/>
        <v>1.1704393479999997</v>
      </c>
      <c r="R137" s="61">
        <f t="shared" si="69"/>
        <v>1.1648447408</v>
      </c>
      <c r="S137" s="60">
        <f t="shared" si="70"/>
        <v>1.1672640304000002</v>
      </c>
      <c r="T137" s="61">
        <f t="shared" si="71"/>
        <v>1.1687921240000001</v>
      </c>
      <c r="U137" s="60">
        <f t="shared" si="72"/>
        <v>1.171219612</v>
      </c>
      <c r="V137" s="61">
        <f t="shared" si="73"/>
        <v>1.1656212752000004</v>
      </c>
      <c r="W137" s="60">
        <f t="shared" si="74"/>
        <v>1.1715193879999999</v>
      </c>
      <c r="X137" s="61">
        <f t="shared" si="75"/>
        <v>1.1754893899999999</v>
      </c>
      <c r="Y137" s="60">
        <f t="shared" si="76"/>
        <v>1.1698706440000002</v>
      </c>
      <c r="Z137" s="61">
        <f t="shared" si="77"/>
        <v>1.1723003720000003</v>
      </c>
    </row>
    <row r="138" spans="2:26" x14ac:dyDescent="0.3">
      <c r="B138" s="9" t="s">
        <v>135</v>
      </c>
      <c r="C138" s="54">
        <v>1.0818000000000001</v>
      </c>
      <c r="D138" s="55">
        <v>1.0824</v>
      </c>
      <c r="E138" s="54">
        <v>1.0841000000000001</v>
      </c>
      <c r="F138" s="54">
        <v>1.0811999999999999</v>
      </c>
      <c r="G138" s="82">
        <f t="shared" si="58"/>
        <v>1.0789599999999999</v>
      </c>
      <c r="H138" s="58">
        <f t="shared" si="59"/>
        <v>1.08264</v>
      </c>
      <c r="I138" s="59">
        <f t="shared" si="60"/>
        <v>1.0769200000000001</v>
      </c>
      <c r="J138" s="58">
        <f t="shared" si="61"/>
        <v>1.07988</v>
      </c>
      <c r="K138" s="59">
        <f t="shared" si="62"/>
        <v>1.0818000000000001</v>
      </c>
      <c r="L138" s="61">
        <f t="shared" si="63"/>
        <v>1.1641546815999999</v>
      </c>
      <c r="M138" s="60">
        <f t="shared" si="64"/>
        <v>1.1721093696</v>
      </c>
      <c r="N138" s="61">
        <f t="shared" si="65"/>
        <v>1.1597566864000002</v>
      </c>
      <c r="O138" s="60">
        <f t="shared" si="66"/>
        <v>1.1661408143999998</v>
      </c>
      <c r="P138" s="61">
        <f t="shared" si="67"/>
        <v>1.1702912400000003</v>
      </c>
      <c r="Q138" s="60">
        <f t="shared" si="68"/>
        <v>1.1681252544</v>
      </c>
      <c r="R138" s="61">
        <f t="shared" si="69"/>
        <v>1.1619536032</v>
      </c>
      <c r="S138" s="60">
        <f t="shared" si="70"/>
        <v>1.1651473247999999</v>
      </c>
      <c r="T138" s="61">
        <f t="shared" si="71"/>
        <v>1.1659166688000002</v>
      </c>
      <c r="U138" s="60">
        <f t="shared" si="72"/>
        <v>1.1691212832</v>
      </c>
      <c r="V138" s="61">
        <f t="shared" si="73"/>
        <v>1.1629443696000001</v>
      </c>
      <c r="W138" s="60">
        <f t="shared" si="74"/>
        <v>1.167218928</v>
      </c>
      <c r="X138" s="61">
        <f t="shared" si="75"/>
        <v>1.171199952</v>
      </c>
      <c r="Y138" s="60">
        <f t="shared" si="76"/>
        <v>1.1650120560000001</v>
      </c>
      <c r="Z138" s="61">
        <f t="shared" si="77"/>
        <v>1.168214184</v>
      </c>
    </row>
    <row r="139" spans="2:26" x14ac:dyDescent="0.3">
      <c r="B139" s="9" t="s">
        <v>136</v>
      </c>
      <c r="C139" s="54">
        <v>1.0823</v>
      </c>
      <c r="D139" s="55">
        <v>1.0815999999999999</v>
      </c>
      <c r="E139" s="54">
        <v>1.0889</v>
      </c>
      <c r="F139" s="54">
        <v>1.0802</v>
      </c>
      <c r="G139" s="82">
        <f t="shared" si="58"/>
        <v>1.07718</v>
      </c>
      <c r="H139" s="58">
        <f t="shared" si="59"/>
        <v>1.08056</v>
      </c>
      <c r="I139" s="59">
        <f t="shared" si="60"/>
        <v>1.07538</v>
      </c>
      <c r="J139" s="58">
        <f t="shared" si="61"/>
        <v>1.07884</v>
      </c>
      <c r="K139" s="59">
        <f t="shared" si="62"/>
        <v>1.0823</v>
      </c>
      <c r="L139" s="61">
        <f t="shared" si="63"/>
        <v>1.1603167524</v>
      </c>
      <c r="M139" s="60">
        <f t="shared" si="64"/>
        <v>1.1676099136</v>
      </c>
      <c r="N139" s="61">
        <f t="shared" si="65"/>
        <v>1.1564421443999999</v>
      </c>
      <c r="O139" s="60">
        <f t="shared" si="66"/>
        <v>1.1638957456000001</v>
      </c>
      <c r="P139" s="61">
        <f t="shared" si="67"/>
        <v>1.17137329</v>
      </c>
      <c r="Q139" s="60">
        <f t="shared" si="68"/>
        <v>1.1639576208</v>
      </c>
      <c r="R139" s="61">
        <f t="shared" si="69"/>
        <v>1.1583778283999999</v>
      </c>
      <c r="S139" s="60">
        <f t="shared" si="70"/>
        <v>1.1621048711999999</v>
      </c>
      <c r="T139" s="61">
        <f t="shared" si="71"/>
        <v>1.1620126127999999</v>
      </c>
      <c r="U139" s="60">
        <f t="shared" si="72"/>
        <v>1.1657513503999999</v>
      </c>
      <c r="V139" s="61">
        <f t="shared" si="73"/>
        <v>1.1601629592</v>
      </c>
      <c r="W139" s="60">
        <f t="shared" si="74"/>
        <v>1.165831914</v>
      </c>
      <c r="X139" s="61">
        <f t="shared" si="75"/>
        <v>1.1694900880000001</v>
      </c>
      <c r="Y139" s="60">
        <f t="shared" si="76"/>
        <v>1.1638837740000001</v>
      </c>
      <c r="Z139" s="61">
        <f t="shared" si="77"/>
        <v>1.1676285320000002</v>
      </c>
    </row>
    <row r="140" spans="2:26" x14ac:dyDescent="0.3">
      <c r="B140" s="9" t="s">
        <v>137</v>
      </c>
      <c r="C140" s="54">
        <v>1.0817000000000001</v>
      </c>
      <c r="D140" s="55">
        <v>1.0807</v>
      </c>
      <c r="E140" s="54">
        <v>1.0825</v>
      </c>
      <c r="F140" s="54">
        <v>1.079</v>
      </c>
      <c r="G140" s="82">
        <f t="shared" si="58"/>
        <v>1.07524</v>
      </c>
      <c r="H140" s="58">
        <f t="shared" si="59"/>
        <v>1.0787600000000002</v>
      </c>
      <c r="I140" s="59">
        <f t="shared" si="60"/>
        <v>1.07348</v>
      </c>
      <c r="J140" s="58">
        <f t="shared" si="61"/>
        <v>1.077</v>
      </c>
      <c r="K140" s="59">
        <f t="shared" si="62"/>
        <v>1.0817000000000001</v>
      </c>
      <c r="L140" s="61">
        <f t="shared" si="63"/>
        <v>1.1561410576</v>
      </c>
      <c r="M140" s="60">
        <f t="shared" si="64"/>
        <v>1.1637231376000003</v>
      </c>
      <c r="N140" s="61">
        <f t="shared" si="65"/>
        <v>1.1523593104000001</v>
      </c>
      <c r="O140" s="60">
        <f t="shared" si="66"/>
        <v>1.159929</v>
      </c>
      <c r="P140" s="61">
        <f t="shared" si="67"/>
        <v>1.1700748900000002</v>
      </c>
      <c r="Q140" s="60">
        <f t="shared" si="68"/>
        <v>1.1599259024000002</v>
      </c>
      <c r="R140" s="61">
        <f t="shared" si="69"/>
        <v>1.1542486351999999</v>
      </c>
      <c r="S140" s="60">
        <f t="shared" si="70"/>
        <v>1.1580334799999998</v>
      </c>
      <c r="T140" s="61">
        <f t="shared" si="71"/>
        <v>1.1580272848000002</v>
      </c>
      <c r="U140" s="60">
        <f t="shared" si="72"/>
        <v>1.1618245200000001</v>
      </c>
      <c r="V140" s="61">
        <f t="shared" si="73"/>
        <v>1.1561379599999999</v>
      </c>
      <c r="W140" s="60">
        <f t="shared" si="74"/>
        <v>1.163087108</v>
      </c>
      <c r="X140" s="61">
        <f t="shared" si="75"/>
        <v>1.1668946920000003</v>
      </c>
      <c r="Y140" s="60">
        <f t="shared" si="76"/>
        <v>1.161183316</v>
      </c>
      <c r="Z140" s="61">
        <f t="shared" si="77"/>
        <v>1.1649909000000001</v>
      </c>
    </row>
    <row r="141" spans="2:26" x14ac:dyDescent="0.3">
      <c r="B141" s="9" t="s">
        <v>138</v>
      </c>
      <c r="C141" s="54">
        <v>1.0803</v>
      </c>
      <c r="D141" s="55">
        <v>1.0779000000000001</v>
      </c>
      <c r="E141" s="54">
        <v>1.0840000000000001</v>
      </c>
      <c r="F141" s="54">
        <v>1.0761000000000001</v>
      </c>
      <c r="G141" s="82">
        <f t="shared" si="58"/>
        <v>1.0750999999999997</v>
      </c>
      <c r="H141" s="58">
        <f t="shared" si="59"/>
        <v>1.0778799999999999</v>
      </c>
      <c r="I141" s="59">
        <f t="shared" si="60"/>
        <v>1.07226</v>
      </c>
      <c r="J141" s="58">
        <f t="shared" si="61"/>
        <v>1.0751199999999999</v>
      </c>
      <c r="K141" s="59">
        <f t="shared" si="62"/>
        <v>1.0803</v>
      </c>
      <c r="L141" s="61">
        <f t="shared" si="63"/>
        <v>1.1558400099999995</v>
      </c>
      <c r="M141" s="60">
        <f t="shared" si="64"/>
        <v>1.1618252943999998</v>
      </c>
      <c r="N141" s="61">
        <f t="shared" si="65"/>
        <v>1.1497415075999999</v>
      </c>
      <c r="O141" s="60">
        <f t="shared" si="66"/>
        <v>1.1558830143999996</v>
      </c>
      <c r="P141" s="61">
        <f t="shared" si="67"/>
        <v>1.16704809</v>
      </c>
      <c r="Q141" s="60">
        <f t="shared" si="68"/>
        <v>1.1588287879999997</v>
      </c>
      <c r="R141" s="61">
        <f t="shared" si="69"/>
        <v>1.1527867259999998</v>
      </c>
      <c r="S141" s="60">
        <f t="shared" si="70"/>
        <v>1.1558615119999995</v>
      </c>
      <c r="T141" s="61">
        <f t="shared" si="71"/>
        <v>1.1557676088</v>
      </c>
      <c r="U141" s="60">
        <f t="shared" si="72"/>
        <v>1.1588503455999999</v>
      </c>
      <c r="V141" s="61">
        <f t="shared" si="73"/>
        <v>1.1528081711999998</v>
      </c>
      <c r="W141" s="60">
        <f t="shared" si="74"/>
        <v>1.1614305299999998</v>
      </c>
      <c r="X141" s="61">
        <f t="shared" si="75"/>
        <v>1.164433764</v>
      </c>
      <c r="Y141" s="60">
        <f t="shared" si="76"/>
        <v>1.1583624780000001</v>
      </c>
      <c r="Z141" s="61">
        <f t="shared" si="77"/>
        <v>1.1614521359999999</v>
      </c>
    </row>
    <row r="142" spans="2:26" x14ac:dyDescent="0.3">
      <c r="B142" s="9" t="s">
        <v>139</v>
      </c>
      <c r="C142" s="54">
        <v>1.0777000000000001</v>
      </c>
      <c r="D142" s="55">
        <v>1.0775999999999999</v>
      </c>
      <c r="E142" s="54">
        <v>1.079</v>
      </c>
      <c r="F142" s="54">
        <v>1.0761000000000001</v>
      </c>
      <c r="G142" s="82">
        <f t="shared" si="58"/>
        <v>1.0752000000000002</v>
      </c>
      <c r="H142" s="58">
        <f t="shared" si="59"/>
        <v>1.0782</v>
      </c>
      <c r="I142" s="59">
        <f t="shared" si="60"/>
        <v>1.0721399999999999</v>
      </c>
      <c r="J142" s="58">
        <f t="shared" si="61"/>
        <v>1.0749999999999997</v>
      </c>
      <c r="K142" s="59">
        <f t="shared" si="62"/>
        <v>1.0777000000000001</v>
      </c>
      <c r="L142" s="61">
        <f t="shared" si="63"/>
        <v>1.1560550400000003</v>
      </c>
      <c r="M142" s="60">
        <f t="shared" si="64"/>
        <v>1.1625152400000001</v>
      </c>
      <c r="N142" s="61">
        <f t="shared" si="65"/>
        <v>1.1494841795999997</v>
      </c>
      <c r="O142" s="60">
        <f t="shared" si="66"/>
        <v>1.1556249999999995</v>
      </c>
      <c r="P142" s="61">
        <f t="shared" si="67"/>
        <v>1.1614372900000003</v>
      </c>
      <c r="Q142" s="60">
        <f t="shared" si="68"/>
        <v>1.1592806400000002</v>
      </c>
      <c r="R142" s="61">
        <f t="shared" si="69"/>
        <v>1.1527649280000001</v>
      </c>
      <c r="S142" s="60">
        <f t="shared" si="70"/>
        <v>1.15584</v>
      </c>
      <c r="T142" s="61">
        <f t="shared" si="71"/>
        <v>1.1559813479999999</v>
      </c>
      <c r="U142" s="60">
        <f t="shared" si="72"/>
        <v>1.1590649999999998</v>
      </c>
      <c r="V142" s="61">
        <f t="shared" si="73"/>
        <v>1.1525504999999996</v>
      </c>
      <c r="W142" s="60">
        <f t="shared" si="74"/>
        <v>1.1587430400000003</v>
      </c>
      <c r="X142" s="61">
        <f t="shared" si="75"/>
        <v>1.1619761400000002</v>
      </c>
      <c r="Y142" s="60">
        <f t="shared" si="76"/>
        <v>1.155445278</v>
      </c>
      <c r="Z142" s="61">
        <f t="shared" si="77"/>
        <v>1.1585274999999999</v>
      </c>
    </row>
    <row r="143" spans="2:26" x14ac:dyDescent="0.3">
      <c r="B143" s="9" t="s">
        <v>140</v>
      </c>
      <c r="C143" s="54">
        <v>1.0773999999999999</v>
      </c>
      <c r="D143" s="55">
        <v>1.077</v>
      </c>
      <c r="E143" s="54">
        <v>1.0788</v>
      </c>
      <c r="F143" s="54">
        <v>1.0731999999999999</v>
      </c>
      <c r="G143" s="82">
        <f t="shared" si="58"/>
        <v>1.0753799999999998</v>
      </c>
      <c r="H143" s="58">
        <f t="shared" si="59"/>
        <v>1.0783600000000002</v>
      </c>
      <c r="I143" s="59">
        <f t="shared" si="60"/>
        <v>1.0727199999999999</v>
      </c>
      <c r="J143" s="58">
        <f t="shared" si="61"/>
        <v>1.0751599999999999</v>
      </c>
      <c r="K143" s="59">
        <f t="shared" si="62"/>
        <v>1.0773999999999999</v>
      </c>
      <c r="L143" s="61">
        <f t="shared" si="63"/>
        <v>1.1564421443999995</v>
      </c>
      <c r="M143" s="60">
        <f t="shared" si="64"/>
        <v>1.1628602896000004</v>
      </c>
      <c r="N143" s="61">
        <f t="shared" si="65"/>
        <v>1.1507281983999997</v>
      </c>
      <c r="O143" s="60">
        <f t="shared" si="66"/>
        <v>1.1559690255999997</v>
      </c>
      <c r="P143" s="61">
        <f t="shared" si="67"/>
        <v>1.1607907599999998</v>
      </c>
      <c r="Q143" s="60">
        <f t="shared" si="68"/>
        <v>1.1596467768000001</v>
      </c>
      <c r="R143" s="61">
        <f t="shared" si="69"/>
        <v>1.1535816335999995</v>
      </c>
      <c r="S143" s="60">
        <f t="shared" si="70"/>
        <v>1.1562055607999997</v>
      </c>
      <c r="T143" s="61">
        <f t="shared" si="71"/>
        <v>1.1567783392000002</v>
      </c>
      <c r="U143" s="60">
        <f t="shared" si="72"/>
        <v>1.1594095376000002</v>
      </c>
      <c r="V143" s="61">
        <f t="shared" si="73"/>
        <v>1.1533456351999998</v>
      </c>
      <c r="W143" s="60">
        <f t="shared" si="74"/>
        <v>1.1586144119999997</v>
      </c>
      <c r="X143" s="61">
        <f t="shared" si="75"/>
        <v>1.1618250640000001</v>
      </c>
      <c r="Y143" s="60">
        <f t="shared" si="76"/>
        <v>1.1557485279999997</v>
      </c>
      <c r="Z143" s="61">
        <f t="shared" si="77"/>
        <v>1.1583773839999998</v>
      </c>
    </row>
    <row r="144" spans="2:26" x14ac:dyDescent="0.3">
      <c r="B144" s="9" t="s">
        <v>141</v>
      </c>
      <c r="C144" s="54">
        <v>1.0770999999999999</v>
      </c>
      <c r="D144" s="55">
        <v>1.0727</v>
      </c>
      <c r="E144" s="54">
        <v>1.0785</v>
      </c>
      <c r="F144" s="54">
        <v>1.0725</v>
      </c>
      <c r="G144" s="82">
        <f t="shared" si="58"/>
        <v>1.0762799999999999</v>
      </c>
      <c r="H144" s="58">
        <f t="shared" si="59"/>
        <v>1.07846</v>
      </c>
      <c r="I144" s="59">
        <f t="shared" si="60"/>
        <v>1.07304</v>
      </c>
      <c r="J144" s="58">
        <f t="shared" si="61"/>
        <v>1.0752599999999997</v>
      </c>
      <c r="K144" s="59">
        <f t="shared" si="62"/>
        <v>1.0770999999999999</v>
      </c>
      <c r="L144" s="61">
        <f t="shared" si="63"/>
        <v>1.1583786383999999</v>
      </c>
      <c r="M144" s="60">
        <f t="shared" si="64"/>
        <v>1.1630759715999999</v>
      </c>
      <c r="N144" s="61">
        <f t="shared" si="65"/>
        <v>1.1514148416000001</v>
      </c>
      <c r="O144" s="60">
        <f t="shared" si="66"/>
        <v>1.1561840675999993</v>
      </c>
      <c r="P144" s="61">
        <f t="shared" si="67"/>
        <v>1.1601444099999998</v>
      </c>
      <c r="Q144" s="60">
        <f t="shared" si="68"/>
        <v>1.1607249287999999</v>
      </c>
      <c r="R144" s="61">
        <f t="shared" si="69"/>
        <v>1.1548914911999999</v>
      </c>
      <c r="S144" s="60">
        <f t="shared" si="70"/>
        <v>1.1572808327999995</v>
      </c>
      <c r="T144" s="61">
        <f t="shared" si="71"/>
        <v>1.1572307183999999</v>
      </c>
      <c r="U144" s="60">
        <f t="shared" si="72"/>
        <v>1.1596248995999996</v>
      </c>
      <c r="V144" s="61">
        <f t="shared" si="73"/>
        <v>1.1537969903999996</v>
      </c>
      <c r="W144" s="60">
        <f t="shared" si="74"/>
        <v>1.1592611879999999</v>
      </c>
      <c r="X144" s="61">
        <f t="shared" si="75"/>
        <v>1.1616092659999999</v>
      </c>
      <c r="Y144" s="60">
        <f t="shared" si="76"/>
        <v>1.1557713839999999</v>
      </c>
      <c r="Z144" s="61">
        <f t="shared" si="77"/>
        <v>1.1581625459999996</v>
      </c>
    </row>
    <row r="145" spans="2:26" s="1" customFormat="1" x14ac:dyDescent="0.3">
      <c r="B145" s="9" t="s">
        <v>142</v>
      </c>
      <c r="C145" s="54">
        <v>1.0725</v>
      </c>
      <c r="D145" s="55">
        <v>1.071</v>
      </c>
      <c r="E145" s="54">
        <v>1.0734999999999999</v>
      </c>
      <c r="F145" s="54">
        <v>1.0694999999999999</v>
      </c>
      <c r="G145" s="82">
        <f t="shared" si="58"/>
        <v>1.0771799999999998</v>
      </c>
      <c r="H145" s="58">
        <f t="shared" si="59"/>
        <v>1.07944</v>
      </c>
      <c r="I145" s="59">
        <f t="shared" si="60"/>
        <v>1.0742</v>
      </c>
      <c r="J145" s="58">
        <f t="shared" si="61"/>
        <v>1.0761799999999997</v>
      </c>
      <c r="K145" s="59">
        <f t="shared" si="62"/>
        <v>1.0725</v>
      </c>
      <c r="L145" s="61">
        <f t="shared" si="63"/>
        <v>1.1603167523999995</v>
      </c>
      <c r="M145" s="60">
        <f t="shared" si="64"/>
        <v>1.1651907135999999</v>
      </c>
      <c r="N145" s="61">
        <f t="shared" si="65"/>
        <v>1.1539056400000001</v>
      </c>
      <c r="O145" s="60">
        <f t="shared" si="66"/>
        <v>1.1581633923999994</v>
      </c>
      <c r="P145" s="61">
        <f t="shared" si="67"/>
        <v>1.15025625</v>
      </c>
      <c r="Q145" s="60">
        <f t="shared" si="68"/>
        <v>1.1627511791999998</v>
      </c>
      <c r="R145" s="61">
        <f t="shared" si="69"/>
        <v>1.1571067559999999</v>
      </c>
      <c r="S145" s="60">
        <f t="shared" si="70"/>
        <v>1.1592395723999995</v>
      </c>
      <c r="T145" s="61">
        <f t="shared" si="71"/>
        <v>1.1595344480000001</v>
      </c>
      <c r="U145" s="60">
        <f t="shared" si="72"/>
        <v>1.1616717391999996</v>
      </c>
      <c r="V145" s="61">
        <f t="shared" si="73"/>
        <v>1.1560325559999998</v>
      </c>
      <c r="W145" s="60">
        <f t="shared" si="74"/>
        <v>1.1552755499999998</v>
      </c>
      <c r="X145" s="61">
        <f t="shared" si="75"/>
        <v>1.1576994</v>
      </c>
      <c r="Y145" s="60">
        <f t="shared" si="76"/>
        <v>1.1520795000000001</v>
      </c>
      <c r="Z145" s="61">
        <f t="shared" si="77"/>
        <v>1.1542030499999998</v>
      </c>
    </row>
    <row r="146" spans="2:26" s="1" customFormat="1" x14ac:dyDescent="0.3">
      <c r="B146" s="9" t="s">
        <v>143</v>
      </c>
      <c r="C146" s="54">
        <v>1.0709</v>
      </c>
      <c r="D146" s="55">
        <v>1.0771999999999999</v>
      </c>
      <c r="E146" s="54">
        <v>1.0795999999999999</v>
      </c>
      <c r="F146" s="54">
        <v>1.07</v>
      </c>
      <c r="G146" s="82">
        <f t="shared" si="58"/>
        <v>1.0766</v>
      </c>
      <c r="H146" s="58">
        <f t="shared" si="59"/>
        <v>1.0787799999999999</v>
      </c>
      <c r="I146" s="59">
        <f t="shared" si="60"/>
        <v>1.0746600000000002</v>
      </c>
      <c r="J146" s="58">
        <f t="shared" si="61"/>
        <v>1.07708</v>
      </c>
      <c r="K146" s="59">
        <f t="shared" si="62"/>
        <v>1.0709</v>
      </c>
      <c r="L146" s="61">
        <f t="shared" si="63"/>
        <v>1.15906756</v>
      </c>
      <c r="M146" s="60">
        <f t="shared" si="64"/>
        <v>1.1637662883999997</v>
      </c>
      <c r="N146" s="61">
        <f t="shared" si="65"/>
        <v>1.1548941156000003</v>
      </c>
      <c r="O146" s="60">
        <f t="shared" si="66"/>
        <v>1.1601013264000002</v>
      </c>
      <c r="P146" s="61">
        <f t="shared" si="67"/>
        <v>1.1468268099999999</v>
      </c>
      <c r="Q146" s="60">
        <f t="shared" si="68"/>
        <v>1.1614145479999998</v>
      </c>
      <c r="R146" s="61">
        <f t="shared" si="69"/>
        <v>1.1569789560000001</v>
      </c>
      <c r="S146" s="60">
        <f t="shared" si="70"/>
        <v>1.159584328</v>
      </c>
      <c r="T146" s="61">
        <f t="shared" si="71"/>
        <v>1.1593217148000001</v>
      </c>
      <c r="U146" s="60">
        <f t="shared" si="72"/>
        <v>1.1619323624</v>
      </c>
      <c r="V146" s="61">
        <f t="shared" si="73"/>
        <v>1.1574947928000001</v>
      </c>
      <c r="W146" s="60">
        <f t="shared" si="74"/>
        <v>1.1529309400000001</v>
      </c>
      <c r="X146" s="61">
        <f t="shared" si="75"/>
        <v>1.1552655019999998</v>
      </c>
      <c r="Y146" s="60">
        <f t="shared" si="76"/>
        <v>1.1508533940000001</v>
      </c>
      <c r="Z146" s="61">
        <f t="shared" si="77"/>
        <v>1.153444972</v>
      </c>
    </row>
    <row r="147" spans="2:26" s="1" customFormat="1" x14ac:dyDescent="0.3">
      <c r="B147" s="40">
        <v>45628</v>
      </c>
      <c r="C147" s="54">
        <v>1.0770999999999999</v>
      </c>
      <c r="D147" s="55">
        <v>1.0781000000000001</v>
      </c>
      <c r="E147" s="54">
        <v>1.0806</v>
      </c>
      <c r="F147" s="54">
        <v>1.0754999999999999</v>
      </c>
      <c r="G147" s="82">
        <f t="shared" si="58"/>
        <v>1.07666</v>
      </c>
      <c r="H147" s="58">
        <f t="shared" si="59"/>
        <v>1.0783999999999998</v>
      </c>
      <c r="I147" s="59">
        <f t="shared" si="60"/>
        <v>1.07402</v>
      </c>
      <c r="J147" s="58">
        <f t="shared" si="61"/>
        <v>1.0764800000000001</v>
      </c>
      <c r="K147" s="59">
        <f t="shared" si="62"/>
        <v>1.0770999999999999</v>
      </c>
      <c r="L147" s="61">
        <f t="shared" si="63"/>
        <v>1.1591967555999998</v>
      </c>
      <c r="M147" s="60">
        <f t="shared" si="64"/>
        <v>1.1629465599999995</v>
      </c>
      <c r="N147" s="61">
        <f t="shared" si="65"/>
        <v>1.1535189604</v>
      </c>
      <c r="O147" s="60">
        <f t="shared" si="66"/>
        <v>1.1588091904000002</v>
      </c>
      <c r="P147" s="61">
        <f t="shared" si="67"/>
        <v>1.1601444099999998</v>
      </c>
      <c r="Q147" s="60">
        <f t="shared" si="68"/>
        <v>1.1610701439999997</v>
      </c>
      <c r="R147" s="61">
        <f t="shared" si="69"/>
        <v>1.1563543731999999</v>
      </c>
      <c r="S147" s="60">
        <f t="shared" si="70"/>
        <v>1.1590029568</v>
      </c>
      <c r="T147" s="61">
        <f t="shared" si="71"/>
        <v>1.1582231679999997</v>
      </c>
      <c r="U147" s="60">
        <f t="shared" si="72"/>
        <v>1.160876032</v>
      </c>
      <c r="V147" s="61">
        <f t="shared" si="73"/>
        <v>1.1561610496000001</v>
      </c>
      <c r="W147" s="60">
        <f t="shared" si="74"/>
        <v>1.1596704859999998</v>
      </c>
      <c r="X147" s="61">
        <f t="shared" si="75"/>
        <v>1.1615446399999998</v>
      </c>
      <c r="Y147" s="60">
        <f t="shared" si="76"/>
        <v>1.1568269419999999</v>
      </c>
      <c r="Z147" s="61">
        <f t="shared" si="77"/>
        <v>1.1594766080000001</v>
      </c>
    </row>
    <row r="148" spans="2:26" s="1" customFormat="1" x14ac:dyDescent="0.3">
      <c r="B148" s="40">
        <v>45537</v>
      </c>
      <c r="C148" s="54">
        <v>1.0782</v>
      </c>
      <c r="D148" s="55">
        <v>1.0779000000000001</v>
      </c>
      <c r="E148" s="54">
        <v>1.0795999999999999</v>
      </c>
      <c r="F148" s="54">
        <v>1.0761000000000001</v>
      </c>
      <c r="G148" s="82">
        <f t="shared" si="58"/>
        <v>1.0785399999999998</v>
      </c>
      <c r="H148" s="58">
        <f t="shared" si="59"/>
        <v>1.0804400000000001</v>
      </c>
      <c r="I148" s="59">
        <f t="shared" si="60"/>
        <v>1.0744000000000002</v>
      </c>
      <c r="J148" s="58">
        <f t="shared" si="61"/>
        <v>1.0765199999999999</v>
      </c>
      <c r="K148" s="59">
        <f t="shared" si="62"/>
        <v>1.0782</v>
      </c>
      <c r="L148" s="61">
        <f t="shared" si="63"/>
        <v>1.1632485315999996</v>
      </c>
      <c r="M148" s="60">
        <f t="shared" si="64"/>
        <v>1.1673505936000002</v>
      </c>
      <c r="N148" s="61">
        <f t="shared" si="65"/>
        <v>1.1543353600000006</v>
      </c>
      <c r="O148" s="60">
        <f t="shared" si="66"/>
        <v>1.1588953103999999</v>
      </c>
      <c r="P148" s="61">
        <f t="shared" si="67"/>
        <v>1.1625152400000001</v>
      </c>
      <c r="Q148" s="60">
        <f t="shared" si="68"/>
        <v>1.1652977575999999</v>
      </c>
      <c r="R148" s="61">
        <f t="shared" si="69"/>
        <v>1.1587833760000001</v>
      </c>
      <c r="S148" s="60">
        <f t="shared" si="70"/>
        <v>1.1610698807999997</v>
      </c>
      <c r="T148" s="61">
        <f t="shared" si="71"/>
        <v>1.1608247360000004</v>
      </c>
      <c r="U148" s="60">
        <f t="shared" si="72"/>
        <v>1.1631152687999999</v>
      </c>
      <c r="V148" s="61">
        <f t="shared" si="73"/>
        <v>1.1566130880000003</v>
      </c>
      <c r="W148" s="60">
        <f t="shared" si="74"/>
        <v>1.162881828</v>
      </c>
      <c r="X148" s="61">
        <f t="shared" si="75"/>
        <v>1.164930408</v>
      </c>
      <c r="Y148" s="60">
        <f t="shared" si="76"/>
        <v>1.1584180800000003</v>
      </c>
      <c r="Z148" s="61">
        <f t="shared" si="77"/>
        <v>1.160703864</v>
      </c>
    </row>
    <row r="149" spans="2:26" s="1" customFormat="1" x14ac:dyDescent="0.3">
      <c r="B149" s="40">
        <v>45506</v>
      </c>
      <c r="C149" s="54">
        <v>1.0775999999999999</v>
      </c>
      <c r="D149" s="55">
        <v>1.0771999999999999</v>
      </c>
      <c r="E149" s="54">
        <v>1.079</v>
      </c>
      <c r="F149" s="54">
        <v>1.0741000000000001</v>
      </c>
      <c r="G149" s="82">
        <f t="shared" si="58"/>
        <v>1.07938</v>
      </c>
      <c r="H149" s="58">
        <f t="shared" si="59"/>
        <v>1.08216</v>
      </c>
      <c r="I149" s="59">
        <f t="shared" si="60"/>
        <v>1.0751599999999999</v>
      </c>
      <c r="J149" s="58">
        <f t="shared" si="61"/>
        <v>1.0784400000000001</v>
      </c>
      <c r="K149" s="59">
        <f t="shared" si="62"/>
        <v>1.0775999999999999</v>
      </c>
      <c r="L149" s="61">
        <f t="shared" si="63"/>
        <v>1.1650611844000001</v>
      </c>
      <c r="M149" s="60">
        <f t="shared" si="64"/>
        <v>1.1710702656</v>
      </c>
      <c r="N149" s="61">
        <f t="shared" si="65"/>
        <v>1.1559690255999997</v>
      </c>
      <c r="O149" s="60">
        <f t="shared" si="66"/>
        <v>1.1630328336000002</v>
      </c>
      <c r="P149" s="61">
        <f t="shared" si="67"/>
        <v>1.1612217599999997</v>
      </c>
      <c r="Q149" s="60">
        <f t="shared" si="68"/>
        <v>1.1680618608</v>
      </c>
      <c r="R149" s="61">
        <f t="shared" si="69"/>
        <v>1.1605062008</v>
      </c>
      <c r="S149" s="60">
        <f t="shared" si="70"/>
        <v>1.1640465672</v>
      </c>
      <c r="T149" s="61">
        <f t="shared" si="71"/>
        <v>1.1634951456</v>
      </c>
      <c r="U149" s="60">
        <f t="shared" si="72"/>
        <v>1.1670446304000002</v>
      </c>
      <c r="V149" s="61">
        <f t="shared" si="73"/>
        <v>1.1594955504</v>
      </c>
      <c r="W149" s="60">
        <f t="shared" si="74"/>
        <v>1.1631398879999999</v>
      </c>
      <c r="X149" s="61">
        <f t="shared" si="75"/>
        <v>1.1661356159999998</v>
      </c>
      <c r="Y149" s="60">
        <f t="shared" si="76"/>
        <v>1.1585924159999998</v>
      </c>
      <c r="Z149" s="61">
        <f t="shared" si="77"/>
        <v>1.1621269439999999</v>
      </c>
    </row>
    <row r="150" spans="2:26" s="1" customFormat="1" x14ac:dyDescent="0.3">
      <c r="B150" s="40">
        <v>45475</v>
      </c>
      <c r="C150" s="54">
        <v>1.0770999999999999</v>
      </c>
      <c r="D150" s="55">
        <v>1.0754999999999999</v>
      </c>
      <c r="E150" s="54">
        <v>1.0784</v>
      </c>
      <c r="F150" s="54">
        <v>1.0752999999999999</v>
      </c>
      <c r="G150" s="82">
        <f t="shared" si="58"/>
        <v>1.0811600000000001</v>
      </c>
      <c r="H150" s="58">
        <f t="shared" si="59"/>
        <v>1.08426</v>
      </c>
      <c r="I150" s="59">
        <f t="shared" si="60"/>
        <v>1.0759999999999998</v>
      </c>
      <c r="J150" s="58">
        <f t="shared" si="61"/>
        <v>1.07934</v>
      </c>
      <c r="K150" s="59">
        <f t="shared" si="62"/>
        <v>1.0770999999999999</v>
      </c>
      <c r="L150" s="61">
        <f t="shared" si="63"/>
        <v>1.1689069456000003</v>
      </c>
      <c r="M150" s="60">
        <f t="shared" si="64"/>
        <v>1.1756197476000001</v>
      </c>
      <c r="N150" s="61">
        <f t="shared" si="65"/>
        <v>1.1577759999999997</v>
      </c>
      <c r="O150" s="60">
        <f t="shared" si="66"/>
        <v>1.1649748356</v>
      </c>
      <c r="P150" s="61">
        <f t="shared" si="67"/>
        <v>1.1601444099999998</v>
      </c>
      <c r="Q150" s="60">
        <f t="shared" si="68"/>
        <v>1.1722585416000002</v>
      </c>
      <c r="R150" s="61">
        <f t="shared" si="69"/>
        <v>1.1633281600000001</v>
      </c>
      <c r="S150" s="60">
        <f t="shared" si="70"/>
        <v>1.1669392344</v>
      </c>
      <c r="T150" s="61">
        <f t="shared" si="71"/>
        <v>1.1666637599999998</v>
      </c>
      <c r="U150" s="60">
        <f t="shared" si="72"/>
        <v>1.1702851884000001</v>
      </c>
      <c r="V150" s="61">
        <f t="shared" si="73"/>
        <v>1.1613698399999999</v>
      </c>
      <c r="W150" s="60">
        <f t="shared" si="74"/>
        <v>1.1645174360000001</v>
      </c>
      <c r="X150" s="61">
        <f t="shared" si="75"/>
        <v>1.167856446</v>
      </c>
      <c r="Y150" s="60">
        <f t="shared" si="76"/>
        <v>1.1589595999999998</v>
      </c>
      <c r="Z150" s="61">
        <f t="shared" si="77"/>
        <v>1.1625571139999999</v>
      </c>
    </row>
    <row r="151" spans="2:26" s="1" customFormat="1" x14ac:dyDescent="0.3">
      <c r="B151" s="40">
        <v>45445</v>
      </c>
      <c r="C151" s="54">
        <v>1.0753999999999999</v>
      </c>
      <c r="D151" s="55">
        <v>1.0743</v>
      </c>
      <c r="E151" s="54">
        <v>1.0763</v>
      </c>
      <c r="F151" s="54">
        <v>1.0723</v>
      </c>
      <c r="G151" s="82">
        <f t="shared" si="58"/>
        <v>1.0829599999999999</v>
      </c>
      <c r="H151" s="58">
        <f t="shared" si="59"/>
        <v>1.0861399999999999</v>
      </c>
      <c r="I151" s="59">
        <f t="shared" si="60"/>
        <v>1.0777600000000001</v>
      </c>
      <c r="J151" s="58">
        <f t="shared" si="61"/>
        <v>1.0810600000000001</v>
      </c>
      <c r="K151" s="59">
        <f t="shared" si="62"/>
        <v>1.0753999999999999</v>
      </c>
      <c r="L151" s="61">
        <f t="shared" si="63"/>
        <v>1.1728023615999998</v>
      </c>
      <c r="M151" s="60">
        <f t="shared" si="64"/>
        <v>1.1797000995999998</v>
      </c>
      <c r="N151" s="61">
        <f t="shared" si="65"/>
        <v>1.1615666176000001</v>
      </c>
      <c r="O151" s="60">
        <f t="shared" si="66"/>
        <v>1.1686907236000004</v>
      </c>
      <c r="P151" s="61">
        <f t="shared" si="67"/>
        <v>1.1564851599999999</v>
      </c>
      <c r="Q151" s="60">
        <f t="shared" si="68"/>
        <v>1.1762461743999999</v>
      </c>
      <c r="R151" s="61">
        <f t="shared" si="69"/>
        <v>1.1671709695999999</v>
      </c>
      <c r="S151" s="60">
        <f t="shared" si="70"/>
        <v>1.1707447376</v>
      </c>
      <c r="T151" s="61">
        <f t="shared" si="71"/>
        <v>1.1705982464</v>
      </c>
      <c r="U151" s="60">
        <f t="shared" si="72"/>
        <v>1.1741825083999999</v>
      </c>
      <c r="V151" s="61">
        <f t="shared" si="73"/>
        <v>1.1651232256000001</v>
      </c>
      <c r="W151" s="60">
        <f t="shared" si="74"/>
        <v>1.1646151839999999</v>
      </c>
      <c r="X151" s="61">
        <f t="shared" si="75"/>
        <v>1.1680349559999998</v>
      </c>
      <c r="Y151" s="60">
        <f t="shared" si="76"/>
        <v>1.1590231039999999</v>
      </c>
      <c r="Z151" s="61">
        <f t="shared" si="77"/>
        <v>1.1625719240000001</v>
      </c>
    </row>
    <row r="152" spans="2:26" s="1" customFormat="1" x14ac:dyDescent="0.3">
      <c r="B152" s="40">
        <v>45414</v>
      </c>
      <c r="C152" s="54">
        <v>1.0741000000000001</v>
      </c>
      <c r="D152" s="55">
        <v>1.0784</v>
      </c>
      <c r="E152" s="54">
        <v>1.0787</v>
      </c>
      <c r="F152" s="54">
        <v>1.0723</v>
      </c>
      <c r="G152" s="82">
        <f t="shared" si="58"/>
        <v>1.08426</v>
      </c>
      <c r="H152" s="58">
        <f t="shared" si="59"/>
        <v>1.0874000000000001</v>
      </c>
      <c r="I152" s="59">
        <f t="shared" si="60"/>
        <v>1.0792199999999998</v>
      </c>
      <c r="J152" s="58">
        <f t="shared" si="61"/>
        <v>1.0829</v>
      </c>
      <c r="K152" s="59">
        <f t="shared" si="62"/>
        <v>1.0741000000000001</v>
      </c>
      <c r="L152" s="61">
        <f t="shared" si="63"/>
        <v>1.1756197476000001</v>
      </c>
      <c r="M152" s="60">
        <f t="shared" si="64"/>
        <v>1.1824387600000004</v>
      </c>
      <c r="N152" s="61">
        <f t="shared" si="65"/>
        <v>1.1647158083999998</v>
      </c>
      <c r="O152" s="60">
        <f t="shared" si="66"/>
        <v>1.1726724099999999</v>
      </c>
      <c r="P152" s="61">
        <f t="shared" si="67"/>
        <v>1.1536908100000001</v>
      </c>
      <c r="Q152" s="60">
        <f t="shared" si="68"/>
        <v>1.1790243240000002</v>
      </c>
      <c r="R152" s="61">
        <f t="shared" si="69"/>
        <v>1.1701550771999998</v>
      </c>
      <c r="S152" s="60">
        <f t="shared" si="70"/>
        <v>1.1741451540000001</v>
      </c>
      <c r="T152" s="61">
        <f t="shared" si="71"/>
        <v>1.1735438279999999</v>
      </c>
      <c r="U152" s="60">
        <f t="shared" si="72"/>
        <v>1.1775454600000002</v>
      </c>
      <c r="V152" s="61">
        <f t="shared" si="73"/>
        <v>1.1686873379999998</v>
      </c>
      <c r="W152" s="60">
        <f t="shared" si="74"/>
        <v>1.1646036660000001</v>
      </c>
      <c r="X152" s="61">
        <f t="shared" si="75"/>
        <v>1.1679763400000003</v>
      </c>
      <c r="Y152" s="60">
        <f t="shared" si="76"/>
        <v>1.159190202</v>
      </c>
      <c r="Z152" s="61">
        <f t="shared" si="77"/>
        <v>1.16314289</v>
      </c>
    </row>
    <row r="153" spans="2:26" x14ac:dyDescent="0.3">
      <c r="B153" s="40">
        <v>45324</v>
      </c>
      <c r="C153" s="54">
        <v>1.0784</v>
      </c>
      <c r="D153" s="55">
        <v>1.0872999999999999</v>
      </c>
      <c r="E153" s="54">
        <v>1.0898000000000001</v>
      </c>
      <c r="F153" s="54">
        <v>1.0780000000000001</v>
      </c>
      <c r="G153" s="82">
        <f t="shared" si="58"/>
        <v>1.0836599999999998</v>
      </c>
      <c r="H153" s="58">
        <f t="shared" si="59"/>
        <v>1.08714</v>
      </c>
      <c r="I153" s="59">
        <f t="shared" si="60"/>
        <v>1.07986</v>
      </c>
      <c r="J153" s="58">
        <f t="shared" si="61"/>
        <v>1.08426</v>
      </c>
      <c r="K153" s="59">
        <f t="shared" si="62"/>
        <v>1.0784</v>
      </c>
      <c r="L153" s="61">
        <f t="shared" si="63"/>
        <v>1.1743189955999997</v>
      </c>
      <c r="M153" s="60">
        <f t="shared" si="64"/>
        <v>1.1818733796000001</v>
      </c>
      <c r="N153" s="61">
        <f t="shared" si="65"/>
        <v>1.1660976196000001</v>
      </c>
      <c r="O153" s="60">
        <f t="shared" si="66"/>
        <v>1.1756197476000001</v>
      </c>
      <c r="P153" s="61">
        <f t="shared" si="67"/>
        <v>1.16294656</v>
      </c>
      <c r="Q153" s="60">
        <f t="shared" si="68"/>
        <v>1.1780901323999999</v>
      </c>
      <c r="R153" s="61">
        <f t="shared" si="69"/>
        <v>1.1702010876</v>
      </c>
      <c r="S153" s="60">
        <f t="shared" si="70"/>
        <v>1.1749691915999998</v>
      </c>
      <c r="T153" s="61">
        <f t="shared" si="71"/>
        <v>1.1739590004</v>
      </c>
      <c r="U153" s="60">
        <f t="shared" si="72"/>
        <v>1.1787424164</v>
      </c>
      <c r="V153" s="61">
        <f t="shared" si="73"/>
        <v>1.1708490036000001</v>
      </c>
      <c r="W153" s="60">
        <f t="shared" si="74"/>
        <v>1.1686189439999999</v>
      </c>
      <c r="X153" s="61">
        <f t="shared" si="75"/>
        <v>1.1723717760000001</v>
      </c>
      <c r="Y153" s="60">
        <f t="shared" si="76"/>
        <v>1.1645210240000001</v>
      </c>
      <c r="Z153" s="61">
        <f t="shared" si="77"/>
        <v>1.1692659839999999</v>
      </c>
    </row>
    <row r="154" spans="2:26" x14ac:dyDescent="0.3">
      <c r="B154" s="40">
        <v>45293</v>
      </c>
      <c r="C154" s="54">
        <v>1.0871999999999999</v>
      </c>
      <c r="D154" s="55">
        <v>1.0813999999999999</v>
      </c>
      <c r="E154" s="54">
        <v>1.0875999999999999</v>
      </c>
      <c r="F154" s="54">
        <v>1.0779000000000001</v>
      </c>
      <c r="G154" s="82">
        <f t="shared" si="58"/>
        <v>1.08508</v>
      </c>
      <c r="H154" s="58">
        <f t="shared" si="59"/>
        <v>1.08768</v>
      </c>
      <c r="I154" s="59">
        <f t="shared" si="60"/>
        <v>1.0806999999999998</v>
      </c>
      <c r="J154" s="58">
        <f t="shared" si="61"/>
        <v>1.0837399999999999</v>
      </c>
      <c r="K154" s="59">
        <f t="shared" si="62"/>
        <v>1.0871999999999999</v>
      </c>
      <c r="L154" s="61">
        <f t="shared" si="63"/>
        <v>1.1773986064000002</v>
      </c>
      <c r="M154" s="60">
        <f t="shared" si="64"/>
        <v>1.1830477823999999</v>
      </c>
      <c r="N154" s="61">
        <f t="shared" si="65"/>
        <v>1.1679124899999995</v>
      </c>
      <c r="O154" s="60">
        <f t="shared" si="66"/>
        <v>1.1744923875999997</v>
      </c>
      <c r="P154" s="61">
        <f t="shared" si="67"/>
        <v>1.1820038399999999</v>
      </c>
      <c r="Q154" s="60">
        <f t="shared" si="68"/>
        <v>1.1802198144</v>
      </c>
      <c r="R154" s="61">
        <f t="shared" si="69"/>
        <v>1.1726459559999998</v>
      </c>
      <c r="S154" s="60">
        <f t="shared" si="70"/>
        <v>1.1759445991999999</v>
      </c>
      <c r="T154" s="61">
        <f t="shared" si="71"/>
        <v>1.1754557759999997</v>
      </c>
      <c r="U154" s="60">
        <f t="shared" si="72"/>
        <v>1.1787623232</v>
      </c>
      <c r="V154" s="61">
        <f t="shared" si="73"/>
        <v>1.1711978179999998</v>
      </c>
      <c r="W154" s="60">
        <f t="shared" si="74"/>
        <v>1.1796989760000001</v>
      </c>
      <c r="X154" s="61">
        <f t="shared" si="75"/>
        <v>1.1825256959999999</v>
      </c>
      <c r="Y154" s="60">
        <f t="shared" si="76"/>
        <v>1.1749370399999997</v>
      </c>
      <c r="Z154" s="61">
        <f t="shared" si="77"/>
        <v>1.1782421279999999</v>
      </c>
    </row>
    <row r="155" spans="2:26" x14ac:dyDescent="0.3">
      <c r="B155" s="9" t="s">
        <v>144</v>
      </c>
      <c r="C155" s="54">
        <v>1.0815999999999999</v>
      </c>
      <c r="D155" s="55">
        <v>1.0844</v>
      </c>
      <c r="E155" s="54">
        <v>1.0889</v>
      </c>
      <c r="F155" s="54">
        <v>1.0794999999999999</v>
      </c>
      <c r="G155" s="82">
        <f t="shared" si="58"/>
        <v>1.0852799999999998</v>
      </c>
      <c r="H155" s="58">
        <f t="shared" si="59"/>
        <v>1.08856</v>
      </c>
      <c r="I155" s="59">
        <f t="shared" si="60"/>
        <v>1.0817000000000001</v>
      </c>
      <c r="J155" s="58">
        <f t="shared" si="61"/>
        <v>1.08508</v>
      </c>
      <c r="K155" s="59">
        <f t="shared" si="62"/>
        <v>1.0815999999999999</v>
      </c>
      <c r="L155" s="61">
        <f t="shared" si="63"/>
        <v>1.1778326783999995</v>
      </c>
      <c r="M155" s="60">
        <f t="shared" si="64"/>
        <v>1.1849628736</v>
      </c>
      <c r="N155" s="61">
        <f t="shared" si="65"/>
        <v>1.1700748900000002</v>
      </c>
      <c r="O155" s="60">
        <f t="shared" si="66"/>
        <v>1.1773986064000002</v>
      </c>
      <c r="P155" s="61">
        <f t="shared" si="67"/>
        <v>1.1698585599999998</v>
      </c>
      <c r="Q155" s="60">
        <f t="shared" si="68"/>
        <v>1.1813923967999997</v>
      </c>
      <c r="R155" s="61">
        <f t="shared" si="69"/>
        <v>1.1739473759999999</v>
      </c>
      <c r="S155" s="60">
        <f t="shared" si="70"/>
        <v>1.1776156223999998</v>
      </c>
      <c r="T155" s="61">
        <f t="shared" si="71"/>
        <v>1.177495352</v>
      </c>
      <c r="U155" s="60">
        <f t="shared" si="72"/>
        <v>1.1811746848</v>
      </c>
      <c r="V155" s="61">
        <f t="shared" si="73"/>
        <v>1.1737310360000002</v>
      </c>
      <c r="W155" s="60">
        <f t="shared" si="74"/>
        <v>1.1738388479999997</v>
      </c>
      <c r="X155" s="61">
        <f t="shared" si="75"/>
        <v>1.1773864959999998</v>
      </c>
      <c r="Y155" s="60">
        <f t="shared" si="76"/>
        <v>1.1699667199999999</v>
      </c>
      <c r="Z155" s="61">
        <f t="shared" si="77"/>
        <v>1.1736225279999999</v>
      </c>
    </row>
    <row r="156" spans="2:26" x14ac:dyDescent="0.3">
      <c r="B156" s="9" t="s">
        <v>145</v>
      </c>
      <c r="C156" s="54">
        <v>1.0840000000000001</v>
      </c>
      <c r="D156" s="55">
        <v>1.0832999999999999</v>
      </c>
      <c r="E156" s="54">
        <v>1.0857000000000001</v>
      </c>
      <c r="F156" s="54">
        <v>1.0810999999999999</v>
      </c>
      <c r="G156" s="82">
        <f t="shared" si="58"/>
        <v>1.0862799999999999</v>
      </c>
      <c r="H156" s="58">
        <f t="shared" si="59"/>
        <v>1.0897600000000001</v>
      </c>
      <c r="I156" s="59">
        <f t="shared" si="60"/>
        <v>1.0818999999999999</v>
      </c>
      <c r="J156" s="58">
        <f t="shared" si="61"/>
        <v>1.0852999999999999</v>
      </c>
      <c r="K156" s="59">
        <f t="shared" si="62"/>
        <v>1.0840000000000001</v>
      </c>
      <c r="L156" s="61">
        <f t="shared" si="63"/>
        <v>1.1800042383999998</v>
      </c>
      <c r="M156" s="60">
        <f t="shared" si="64"/>
        <v>1.1875768576000001</v>
      </c>
      <c r="N156" s="61">
        <f t="shared" si="65"/>
        <v>1.1705076099999998</v>
      </c>
      <c r="O156" s="60">
        <f t="shared" si="66"/>
        <v>1.1778760899999998</v>
      </c>
      <c r="P156" s="61">
        <f t="shared" si="67"/>
        <v>1.1750560000000001</v>
      </c>
      <c r="Q156" s="60">
        <f t="shared" si="68"/>
        <v>1.1837844927999999</v>
      </c>
      <c r="R156" s="61">
        <f t="shared" si="69"/>
        <v>1.1752463319999997</v>
      </c>
      <c r="S156" s="60">
        <f t="shared" si="70"/>
        <v>1.1789396839999999</v>
      </c>
      <c r="T156" s="61">
        <f t="shared" si="71"/>
        <v>1.1790113439999999</v>
      </c>
      <c r="U156" s="60">
        <f t="shared" si="72"/>
        <v>1.182716528</v>
      </c>
      <c r="V156" s="61">
        <f t="shared" si="73"/>
        <v>1.1741860699999997</v>
      </c>
      <c r="W156" s="60">
        <f t="shared" si="74"/>
        <v>1.1775275199999999</v>
      </c>
      <c r="X156" s="61">
        <f t="shared" si="75"/>
        <v>1.1812998400000001</v>
      </c>
      <c r="Y156" s="60">
        <f t="shared" si="76"/>
        <v>1.1727795999999999</v>
      </c>
      <c r="Z156" s="61">
        <f t="shared" si="77"/>
        <v>1.1764652</v>
      </c>
    </row>
    <row r="157" spans="2:26" x14ac:dyDescent="0.3">
      <c r="B157" s="9" t="s">
        <v>146</v>
      </c>
      <c r="C157" s="54">
        <v>1.0832999999999999</v>
      </c>
      <c r="D157" s="55">
        <v>1.0849</v>
      </c>
      <c r="E157" s="54">
        <v>1.085</v>
      </c>
      <c r="F157" s="54">
        <v>1.0795999999999999</v>
      </c>
      <c r="G157" s="82">
        <f t="shared" si="58"/>
        <v>1.0871200000000001</v>
      </c>
      <c r="H157" s="58">
        <f t="shared" si="59"/>
        <v>1.0909799999999998</v>
      </c>
      <c r="I157" s="59">
        <f t="shared" si="60"/>
        <v>1.0835600000000001</v>
      </c>
      <c r="J157" s="58">
        <f t="shared" si="61"/>
        <v>1.0862599999999998</v>
      </c>
      <c r="K157" s="59">
        <f t="shared" si="62"/>
        <v>1.0832999999999999</v>
      </c>
      <c r="L157" s="61">
        <f t="shared" si="63"/>
        <v>1.1818298944000001</v>
      </c>
      <c r="M157" s="60">
        <f t="shared" si="64"/>
        <v>1.1902373603999996</v>
      </c>
      <c r="N157" s="61">
        <f t="shared" si="65"/>
        <v>1.1741022736000002</v>
      </c>
      <c r="O157" s="60">
        <f t="shared" si="66"/>
        <v>1.1799607875999996</v>
      </c>
      <c r="P157" s="61">
        <f t="shared" si="67"/>
        <v>1.1735388899999999</v>
      </c>
      <c r="Q157" s="60">
        <f t="shared" si="68"/>
        <v>1.1860261775999998</v>
      </c>
      <c r="R157" s="61">
        <f t="shared" si="69"/>
        <v>1.1779597472000001</v>
      </c>
      <c r="S157" s="60">
        <f t="shared" si="70"/>
        <v>1.1808949711999999</v>
      </c>
      <c r="T157" s="61">
        <f t="shared" si="71"/>
        <v>1.1821422887999999</v>
      </c>
      <c r="U157" s="60">
        <f t="shared" si="72"/>
        <v>1.1850879347999996</v>
      </c>
      <c r="V157" s="61">
        <f t="shared" si="73"/>
        <v>1.1770278855999998</v>
      </c>
      <c r="W157" s="60">
        <f t="shared" si="74"/>
        <v>1.177677096</v>
      </c>
      <c r="X157" s="61">
        <f t="shared" si="75"/>
        <v>1.1818586339999997</v>
      </c>
      <c r="Y157" s="60">
        <f t="shared" si="76"/>
        <v>1.1738205479999999</v>
      </c>
      <c r="Z157" s="61">
        <f t="shared" si="77"/>
        <v>1.1767454579999996</v>
      </c>
    </row>
    <row r="158" spans="2:26" x14ac:dyDescent="0.3">
      <c r="B158" s="9" t="s">
        <v>147</v>
      </c>
      <c r="C158" s="54">
        <v>1.0851999999999999</v>
      </c>
      <c r="D158" s="55">
        <v>1.0843</v>
      </c>
      <c r="E158" s="54">
        <v>1.0885</v>
      </c>
      <c r="F158" s="54">
        <v>1.0811999999999999</v>
      </c>
      <c r="G158" s="82">
        <f t="shared" si="58"/>
        <v>1.08778</v>
      </c>
      <c r="H158" s="58">
        <f t="shared" si="59"/>
        <v>1.0912400000000002</v>
      </c>
      <c r="I158" s="59">
        <f t="shared" si="60"/>
        <v>1.0846199999999999</v>
      </c>
      <c r="J158" s="58">
        <f t="shared" si="61"/>
        <v>1.0871599999999999</v>
      </c>
      <c r="K158" s="59">
        <f t="shared" si="62"/>
        <v>1.0851999999999999</v>
      </c>
      <c r="L158" s="61">
        <f t="shared" si="63"/>
        <v>1.1832653283999999</v>
      </c>
      <c r="M158" s="60">
        <f t="shared" si="64"/>
        <v>1.1908047376000004</v>
      </c>
      <c r="N158" s="61">
        <f t="shared" si="65"/>
        <v>1.1764005443999999</v>
      </c>
      <c r="O158" s="60">
        <f t="shared" si="66"/>
        <v>1.1819168655999999</v>
      </c>
      <c r="P158" s="61">
        <f t="shared" si="67"/>
        <v>1.1776590399999998</v>
      </c>
      <c r="Q158" s="60">
        <f t="shared" si="68"/>
        <v>1.1870290472000002</v>
      </c>
      <c r="R158" s="61">
        <f t="shared" si="69"/>
        <v>1.1798279435999999</v>
      </c>
      <c r="S158" s="60">
        <f t="shared" si="70"/>
        <v>1.1825909047999998</v>
      </c>
      <c r="T158" s="61">
        <f t="shared" si="71"/>
        <v>1.1835807288000002</v>
      </c>
      <c r="U158" s="60">
        <f t="shared" si="72"/>
        <v>1.1863524784000001</v>
      </c>
      <c r="V158" s="61">
        <f t="shared" si="73"/>
        <v>1.1791554791999999</v>
      </c>
      <c r="W158" s="60">
        <f t="shared" si="74"/>
        <v>1.180458856</v>
      </c>
      <c r="X158" s="61">
        <f t="shared" si="75"/>
        <v>1.1842136480000001</v>
      </c>
      <c r="Y158" s="60">
        <f t="shared" si="76"/>
        <v>1.1770296239999998</v>
      </c>
      <c r="Z158" s="61">
        <f t="shared" si="77"/>
        <v>1.1797860319999998</v>
      </c>
    </row>
    <row r="159" spans="2:26" x14ac:dyDescent="0.3">
      <c r="B159" s="9" t="s">
        <v>148</v>
      </c>
      <c r="C159" s="54">
        <v>1.0846</v>
      </c>
      <c r="D159" s="55">
        <v>1.0885</v>
      </c>
      <c r="E159" s="54">
        <v>1.0903</v>
      </c>
      <c r="F159" s="54">
        <v>1.0821000000000001</v>
      </c>
      <c r="G159" s="82">
        <f t="shared" si="58"/>
        <v>1.0877200000000002</v>
      </c>
      <c r="H159" s="58">
        <f t="shared" si="59"/>
        <v>1.0913200000000001</v>
      </c>
      <c r="I159" s="59">
        <f t="shared" si="60"/>
        <v>1.0851200000000001</v>
      </c>
      <c r="J159" s="58">
        <f t="shared" si="61"/>
        <v>1.0877199999999998</v>
      </c>
      <c r="K159" s="59">
        <f t="shared" si="62"/>
        <v>1.0846</v>
      </c>
      <c r="L159" s="61">
        <f t="shared" si="63"/>
        <v>1.1831347984000005</v>
      </c>
      <c r="M159" s="60">
        <f t="shared" si="64"/>
        <v>1.1909793424000001</v>
      </c>
      <c r="N159" s="61">
        <f t="shared" si="65"/>
        <v>1.1774854144000002</v>
      </c>
      <c r="O159" s="60">
        <f t="shared" si="66"/>
        <v>1.1831347983999996</v>
      </c>
      <c r="P159" s="61">
        <f t="shared" si="67"/>
        <v>1.17635716</v>
      </c>
      <c r="Q159" s="60">
        <f t="shared" si="68"/>
        <v>1.1870505904000004</v>
      </c>
      <c r="R159" s="61">
        <f t="shared" si="69"/>
        <v>1.1803067264000004</v>
      </c>
      <c r="S159" s="60">
        <f t="shared" si="70"/>
        <v>1.1831347984</v>
      </c>
      <c r="T159" s="61">
        <f t="shared" si="71"/>
        <v>1.1842131584000002</v>
      </c>
      <c r="U159" s="60">
        <f t="shared" si="72"/>
        <v>1.1870505903999999</v>
      </c>
      <c r="V159" s="61">
        <f t="shared" si="73"/>
        <v>1.1803067263999998</v>
      </c>
      <c r="W159" s="60">
        <f t="shared" si="74"/>
        <v>1.1797411120000003</v>
      </c>
      <c r="X159" s="61">
        <f t="shared" si="75"/>
        <v>1.1836456720000001</v>
      </c>
      <c r="Y159" s="60">
        <f t="shared" si="76"/>
        <v>1.176921152</v>
      </c>
      <c r="Z159" s="61">
        <f t="shared" si="77"/>
        <v>1.1797411119999999</v>
      </c>
    </row>
    <row r="160" spans="2:26" x14ac:dyDescent="0.3">
      <c r="B160" s="9" t="s">
        <v>149</v>
      </c>
      <c r="C160" s="54">
        <v>1.0883</v>
      </c>
      <c r="D160" s="55">
        <v>1.0853999999999999</v>
      </c>
      <c r="E160" s="54">
        <v>1.0932999999999999</v>
      </c>
      <c r="F160" s="54">
        <v>1.0845</v>
      </c>
      <c r="G160" s="82">
        <f t="shared" si="58"/>
        <v>1.0881199999999998</v>
      </c>
      <c r="H160" s="58">
        <f t="shared" si="59"/>
        <v>1.09036</v>
      </c>
      <c r="I160" s="59">
        <f t="shared" si="60"/>
        <v>1.0851</v>
      </c>
      <c r="J160" s="58">
        <f t="shared" si="61"/>
        <v>1.08768</v>
      </c>
      <c r="K160" s="59">
        <f t="shared" si="62"/>
        <v>1.0883</v>
      </c>
      <c r="L160" s="61">
        <f t="shared" si="63"/>
        <v>1.1840051343999995</v>
      </c>
      <c r="M160" s="60">
        <f t="shared" si="64"/>
        <v>1.1888849295999999</v>
      </c>
      <c r="N160" s="61">
        <f t="shared" si="65"/>
        <v>1.1774420099999998</v>
      </c>
      <c r="O160" s="60">
        <f t="shared" si="66"/>
        <v>1.1830477823999999</v>
      </c>
      <c r="P160" s="61">
        <f t="shared" si="67"/>
        <v>1.1843968900000001</v>
      </c>
      <c r="Q160" s="60">
        <f t="shared" si="68"/>
        <v>1.1864425231999998</v>
      </c>
      <c r="R160" s="61">
        <f t="shared" si="69"/>
        <v>1.1807190119999997</v>
      </c>
      <c r="S160" s="60">
        <f t="shared" si="70"/>
        <v>1.1835263615999998</v>
      </c>
      <c r="T160" s="61">
        <f t="shared" si="71"/>
        <v>1.183149636</v>
      </c>
      <c r="U160" s="60">
        <f t="shared" si="72"/>
        <v>1.1859627648</v>
      </c>
      <c r="V160" s="61">
        <f t="shared" si="73"/>
        <v>1.180241568</v>
      </c>
      <c r="W160" s="60">
        <f t="shared" si="74"/>
        <v>1.1842009959999997</v>
      </c>
      <c r="X160" s="61">
        <f t="shared" si="75"/>
        <v>1.186638788</v>
      </c>
      <c r="Y160" s="60">
        <f t="shared" si="76"/>
        <v>1.18091433</v>
      </c>
      <c r="Z160" s="61">
        <f t="shared" si="77"/>
        <v>1.1837221440000001</v>
      </c>
    </row>
    <row r="161" spans="2:26" x14ac:dyDescent="0.3">
      <c r="B161" s="9" t="s">
        <v>150</v>
      </c>
      <c r="C161" s="54">
        <v>1.0851</v>
      </c>
      <c r="D161" s="55">
        <v>1.0883</v>
      </c>
      <c r="E161" s="54">
        <v>1.0916999999999999</v>
      </c>
      <c r="F161" s="54">
        <v>1.0821000000000001</v>
      </c>
      <c r="G161" s="82">
        <f t="shared" si="58"/>
        <v>1.0894599999999999</v>
      </c>
      <c r="H161" s="58">
        <f t="shared" si="59"/>
        <v>1.0910600000000001</v>
      </c>
      <c r="I161" s="59">
        <f t="shared" si="60"/>
        <v>1.0859200000000002</v>
      </c>
      <c r="J161" s="58">
        <f t="shared" si="61"/>
        <v>1.0881399999999999</v>
      </c>
      <c r="K161" s="59">
        <f t="shared" si="62"/>
        <v>1.0851</v>
      </c>
      <c r="L161" s="61">
        <f t="shared" si="63"/>
        <v>1.1869230915999998</v>
      </c>
      <c r="M161" s="60">
        <f t="shared" si="64"/>
        <v>1.1904119236000004</v>
      </c>
      <c r="N161" s="61">
        <f t="shared" si="65"/>
        <v>1.1792222464000004</v>
      </c>
      <c r="O161" s="60">
        <f t="shared" si="66"/>
        <v>1.1840486595999997</v>
      </c>
      <c r="P161" s="61">
        <f t="shared" si="67"/>
        <v>1.1774420099999998</v>
      </c>
      <c r="Q161" s="60">
        <f t="shared" si="68"/>
        <v>1.1886662276</v>
      </c>
      <c r="R161" s="61">
        <f t="shared" si="69"/>
        <v>1.1830664032</v>
      </c>
      <c r="S161" s="60">
        <f t="shared" si="70"/>
        <v>1.1854850043999998</v>
      </c>
      <c r="T161" s="61">
        <f t="shared" si="71"/>
        <v>1.1848038752000003</v>
      </c>
      <c r="U161" s="60">
        <f t="shared" si="72"/>
        <v>1.1872260284</v>
      </c>
      <c r="V161" s="61">
        <f t="shared" si="73"/>
        <v>1.1816329888000001</v>
      </c>
      <c r="W161" s="60">
        <f t="shared" si="74"/>
        <v>1.1821730459999997</v>
      </c>
      <c r="X161" s="61">
        <f t="shared" si="75"/>
        <v>1.183909206</v>
      </c>
      <c r="Y161" s="60">
        <f t="shared" si="76"/>
        <v>1.1783317920000003</v>
      </c>
      <c r="Z161" s="61">
        <f t="shared" si="77"/>
        <v>1.1807407139999999</v>
      </c>
    </row>
    <row r="162" spans="2:26" x14ac:dyDescent="0.3">
      <c r="B162" s="9" t="s">
        <v>151</v>
      </c>
      <c r="C162" s="54">
        <v>1.0881000000000001</v>
      </c>
      <c r="D162" s="55">
        <v>1.0891</v>
      </c>
      <c r="E162" s="54">
        <v>1.0911</v>
      </c>
      <c r="F162" s="54">
        <v>1.0879000000000001</v>
      </c>
      <c r="G162" s="82">
        <f t="shared" si="58"/>
        <v>1.0907399999999998</v>
      </c>
      <c r="H162" s="58">
        <f t="shared" si="59"/>
        <v>1.09222</v>
      </c>
      <c r="I162" s="59">
        <f t="shared" si="60"/>
        <v>1.0870000000000002</v>
      </c>
      <c r="J162" s="58">
        <f t="shared" si="61"/>
        <v>1.08948</v>
      </c>
      <c r="K162" s="59">
        <f t="shared" si="62"/>
        <v>1.0881000000000001</v>
      </c>
      <c r="L162" s="61">
        <f t="shared" si="63"/>
        <v>1.1897137475999997</v>
      </c>
      <c r="M162" s="60">
        <f t="shared" si="64"/>
        <v>1.1929445284</v>
      </c>
      <c r="N162" s="61">
        <f t="shared" si="65"/>
        <v>1.1815690000000003</v>
      </c>
      <c r="O162" s="60">
        <f t="shared" si="66"/>
        <v>1.1869666703999999</v>
      </c>
      <c r="P162" s="61">
        <f t="shared" si="67"/>
        <v>1.1839616100000001</v>
      </c>
      <c r="Q162" s="60">
        <f t="shared" si="68"/>
        <v>1.1913280427999997</v>
      </c>
      <c r="R162" s="61">
        <f t="shared" si="69"/>
        <v>1.18563438</v>
      </c>
      <c r="S162" s="60">
        <f t="shared" si="70"/>
        <v>1.1883394151999997</v>
      </c>
      <c r="T162" s="61">
        <f t="shared" si="71"/>
        <v>1.1872431400000001</v>
      </c>
      <c r="U162" s="60">
        <f t="shared" si="72"/>
        <v>1.1899518456</v>
      </c>
      <c r="V162" s="61">
        <f t="shared" si="73"/>
        <v>1.1842647600000002</v>
      </c>
      <c r="W162" s="60">
        <f t="shared" si="74"/>
        <v>1.1868341939999998</v>
      </c>
      <c r="X162" s="61">
        <f t="shared" si="75"/>
        <v>1.188444582</v>
      </c>
      <c r="Y162" s="60">
        <f t="shared" si="76"/>
        <v>1.1827647000000003</v>
      </c>
      <c r="Z162" s="61">
        <f t="shared" si="77"/>
        <v>1.1854631880000002</v>
      </c>
    </row>
    <row r="163" spans="2:26" x14ac:dyDescent="0.3">
      <c r="B163" s="9" t="s">
        <v>152</v>
      </c>
      <c r="C163" s="54">
        <v>1.0896999999999999</v>
      </c>
      <c r="D163" s="55">
        <v>1.0875999999999999</v>
      </c>
      <c r="E163" s="54">
        <v>1.0898000000000001</v>
      </c>
      <c r="F163" s="54">
        <v>1.0865</v>
      </c>
      <c r="G163" s="82">
        <f t="shared" si="58"/>
        <v>1.0927</v>
      </c>
      <c r="H163" s="58">
        <f t="shared" si="59"/>
        <v>1.0939999999999999</v>
      </c>
      <c r="I163" s="59">
        <f t="shared" si="60"/>
        <v>1.0884</v>
      </c>
      <c r="J163" s="58">
        <f t="shared" si="61"/>
        <v>1.0905200000000002</v>
      </c>
      <c r="K163" s="59">
        <f t="shared" si="62"/>
        <v>1.0896999999999999</v>
      </c>
      <c r="L163" s="61">
        <f t="shared" si="63"/>
        <v>1.1939932900000001</v>
      </c>
      <c r="M163" s="60">
        <f t="shared" si="64"/>
        <v>1.1968359999999998</v>
      </c>
      <c r="N163" s="61">
        <f t="shared" si="65"/>
        <v>1.18461456</v>
      </c>
      <c r="O163" s="60">
        <f t="shared" si="66"/>
        <v>1.1892338704000003</v>
      </c>
      <c r="P163" s="61">
        <f t="shared" si="67"/>
        <v>1.1874460899999997</v>
      </c>
      <c r="Q163" s="60">
        <f t="shared" si="68"/>
        <v>1.1954137999999999</v>
      </c>
      <c r="R163" s="61">
        <f t="shared" si="69"/>
        <v>1.1892946799999999</v>
      </c>
      <c r="S163" s="60">
        <f t="shared" si="70"/>
        <v>1.1916112040000002</v>
      </c>
      <c r="T163" s="61">
        <f t="shared" si="71"/>
        <v>1.1907095999999999</v>
      </c>
      <c r="U163" s="60">
        <f t="shared" si="72"/>
        <v>1.19302888</v>
      </c>
      <c r="V163" s="61">
        <f t="shared" si="73"/>
        <v>1.1869219680000003</v>
      </c>
      <c r="W163" s="60">
        <f t="shared" si="74"/>
        <v>1.1907151899999999</v>
      </c>
      <c r="X163" s="61">
        <f t="shared" si="75"/>
        <v>1.1921317999999996</v>
      </c>
      <c r="Y163" s="60">
        <f t="shared" si="76"/>
        <v>1.18602948</v>
      </c>
      <c r="Z163" s="61">
        <f t="shared" si="77"/>
        <v>1.188339644</v>
      </c>
    </row>
    <row r="164" spans="2:26" x14ac:dyDescent="0.3">
      <c r="B164" s="9" t="s">
        <v>153</v>
      </c>
      <c r="C164" s="54">
        <v>1.0873999999999999</v>
      </c>
      <c r="D164" s="55">
        <v>1.0882000000000001</v>
      </c>
      <c r="E164" s="54">
        <v>1.0907</v>
      </c>
      <c r="F164" s="54">
        <v>1.0846</v>
      </c>
      <c r="G164" s="82">
        <f t="shared" si="58"/>
        <v>1.0945199999999997</v>
      </c>
      <c r="H164" s="58">
        <f t="shared" si="59"/>
        <v>1.09568</v>
      </c>
      <c r="I164" s="59">
        <f t="shared" si="60"/>
        <v>1.09006</v>
      </c>
      <c r="J164" s="58">
        <f t="shared" si="61"/>
        <v>1.0924399999999999</v>
      </c>
      <c r="K164" s="59">
        <f t="shared" si="62"/>
        <v>1.0873999999999999</v>
      </c>
      <c r="L164" s="61">
        <f t="shared" si="63"/>
        <v>1.1979740303999993</v>
      </c>
      <c r="M164" s="60">
        <f t="shared" si="64"/>
        <v>1.2005146624</v>
      </c>
      <c r="N164" s="61">
        <f t="shared" si="65"/>
        <v>1.1882308036</v>
      </c>
      <c r="O164" s="60">
        <f t="shared" si="66"/>
        <v>1.1934251535999998</v>
      </c>
      <c r="P164" s="61">
        <f t="shared" si="67"/>
        <v>1.1824387599999999</v>
      </c>
      <c r="Q164" s="60">
        <f t="shared" si="68"/>
        <v>1.1992436735999996</v>
      </c>
      <c r="R164" s="61">
        <f t="shared" si="69"/>
        <v>1.1930924711999997</v>
      </c>
      <c r="S164" s="60">
        <f t="shared" si="70"/>
        <v>1.1956974287999995</v>
      </c>
      <c r="T164" s="61">
        <f t="shared" si="71"/>
        <v>1.1943569408000001</v>
      </c>
      <c r="U164" s="60">
        <f t="shared" si="72"/>
        <v>1.1969646591999998</v>
      </c>
      <c r="V164" s="61">
        <f t="shared" si="73"/>
        <v>1.1908251463999999</v>
      </c>
      <c r="W164" s="60">
        <f t="shared" si="74"/>
        <v>1.1901810479999997</v>
      </c>
      <c r="X164" s="61">
        <f t="shared" si="75"/>
        <v>1.1914424319999999</v>
      </c>
      <c r="Y164" s="60">
        <f t="shared" si="76"/>
        <v>1.1853312439999999</v>
      </c>
      <c r="Z164" s="61">
        <f t="shared" si="77"/>
        <v>1.1879192559999998</v>
      </c>
    </row>
    <row r="165" spans="2:26" x14ac:dyDescent="0.3">
      <c r="B165" s="9" t="s">
        <v>154</v>
      </c>
      <c r="C165" s="54">
        <v>1.0881000000000001</v>
      </c>
      <c r="D165" s="55">
        <v>1.0873999999999999</v>
      </c>
      <c r="E165" s="54">
        <v>1.0885</v>
      </c>
      <c r="F165" s="54">
        <v>1.0844</v>
      </c>
      <c r="G165" s="82">
        <f t="shared" si="58"/>
        <v>1.0956600000000001</v>
      </c>
      <c r="H165" s="58">
        <f t="shared" si="59"/>
        <v>1.0974599999999999</v>
      </c>
      <c r="I165" s="59">
        <f t="shared" si="60"/>
        <v>1.09162</v>
      </c>
      <c r="J165" s="58">
        <f t="shared" si="61"/>
        <v>1.0942400000000001</v>
      </c>
      <c r="K165" s="59">
        <f t="shared" si="62"/>
        <v>1.0881000000000001</v>
      </c>
      <c r="L165" s="61">
        <f t="shared" si="63"/>
        <v>1.2004708356000002</v>
      </c>
      <c r="M165" s="60">
        <f t="shared" si="64"/>
        <v>1.2044184515999998</v>
      </c>
      <c r="N165" s="61">
        <f t="shared" si="65"/>
        <v>1.1916342244</v>
      </c>
      <c r="O165" s="60">
        <f t="shared" si="66"/>
        <v>1.1973611776000002</v>
      </c>
      <c r="P165" s="61">
        <f t="shared" si="67"/>
        <v>1.1839616100000001</v>
      </c>
      <c r="Q165" s="60">
        <f t="shared" si="68"/>
        <v>1.2024430235999999</v>
      </c>
      <c r="R165" s="61">
        <f t="shared" si="69"/>
        <v>1.1960443692</v>
      </c>
      <c r="S165" s="60">
        <f t="shared" si="70"/>
        <v>1.1989149984000003</v>
      </c>
      <c r="T165" s="61">
        <f t="shared" si="71"/>
        <v>1.1980092851999999</v>
      </c>
      <c r="U165" s="60">
        <f t="shared" si="72"/>
        <v>1.2008846304</v>
      </c>
      <c r="V165" s="61">
        <f t="shared" si="73"/>
        <v>1.1944942688000002</v>
      </c>
      <c r="W165" s="60">
        <f t="shared" si="74"/>
        <v>1.1921876460000003</v>
      </c>
      <c r="X165" s="61">
        <f t="shared" si="75"/>
        <v>1.194146226</v>
      </c>
      <c r="Y165" s="60">
        <f t="shared" si="76"/>
        <v>1.187791722</v>
      </c>
      <c r="Z165" s="61">
        <f t="shared" si="77"/>
        <v>1.1906425440000001</v>
      </c>
    </row>
    <row r="166" spans="2:26" s="1" customFormat="1" x14ac:dyDescent="0.3">
      <c r="B166" s="9" t="s">
        <v>155</v>
      </c>
      <c r="C166" s="54">
        <v>1.0873999999999999</v>
      </c>
      <c r="D166" s="55">
        <v>1.095</v>
      </c>
      <c r="E166" s="54">
        <v>1.0952</v>
      </c>
      <c r="F166" s="54">
        <v>1.0862000000000001</v>
      </c>
      <c r="G166" s="82">
        <f t="shared" si="58"/>
        <v>1.0956999999999999</v>
      </c>
      <c r="H166" s="58">
        <f t="shared" si="59"/>
        <v>1.0977599999999998</v>
      </c>
      <c r="I166" s="59">
        <f t="shared" si="60"/>
        <v>1.0925800000000001</v>
      </c>
      <c r="J166" s="58">
        <f t="shared" si="61"/>
        <v>1.09538</v>
      </c>
      <c r="K166" s="59">
        <f t="shared" si="62"/>
        <v>1.0873999999999999</v>
      </c>
      <c r="L166" s="61">
        <f t="shared" si="63"/>
        <v>1.2005584899999997</v>
      </c>
      <c r="M166" s="60">
        <f t="shared" si="64"/>
        <v>1.2050770175999996</v>
      </c>
      <c r="N166" s="61">
        <f t="shared" si="65"/>
        <v>1.1937310564000003</v>
      </c>
      <c r="O166" s="60">
        <f t="shared" si="66"/>
        <v>1.1998573444</v>
      </c>
      <c r="P166" s="61">
        <f t="shared" si="67"/>
        <v>1.1824387599999999</v>
      </c>
      <c r="Q166" s="60">
        <f t="shared" si="68"/>
        <v>1.2028156319999996</v>
      </c>
      <c r="R166" s="61">
        <f t="shared" si="69"/>
        <v>1.1971399060000001</v>
      </c>
      <c r="S166" s="60">
        <f t="shared" si="70"/>
        <v>1.200207866</v>
      </c>
      <c r="T166" s="61">
        <f t="shared" si="71"/>
        <v>1.1993906208</v>
      </c>
      <c r="U166" s="60">
        <f t="shared" si="72"/>
        <v>1.2024643487999997</v>
      </c>
      <c r="V166" s="61">
        <f t="shared" si="73"/>
        <v>1.1967902804000001</v>
      </c>
      <c r="W166" s="60">
        <f t="shared" si="74"/>
        <v>1.1914641799999999</v>
      </c>
      <c r="X166" s="61">
        <f t="shared" si="75"/>
        <v>1.1937042239999998</v>
      </c>
      <c r="Y166" s="60">
        <f t="shared" si="76"/>
        <v>1.188071492</v>
      </c>
      <c r="Z166" s="61">
        <f t="shared" si="77"/>
        <v>1.1911162119999998</v>
      </c>
    </row>
    <row r="167" spans="2:26" s="1" customFormat="1" x14ac:dyDescent="0.3">
      <c r="B167" s="9" t="s">
        <v>156</v>
      </c>
      <c r="C167" s="54">
        <v>1.0948</v>
      </c>
      <c r="D167" s="55">
        <v>1.0954999999999999</v>
      </c>
      <c r="E167" s="54">
        <v>1.0969</v>
      </c>
      <c r="F167" s="54">
        <v>1.0932999999999999</v>
      </c>
      <c r="G167" s="82">
        <f t="shared" si="58"/>
        <v>1.09552</v>
      </c>
      <c r="H167" s="58">
        <f t="shared" si="59"/>
        <v>1.09796</v>
      </c>
      <c r="I167" s="59">
        <f t="shared" si="60"/>
        <v>1.09236</v>
      </c>
      <c r="J167" s="58">
        <f t="shared" si="61"/>
        <v>1.0953999999999999</v>
      </c>
      <c r="K167" s="59">
        <f t="shared" si="62"/>
        <v>1.0948</v>
      </c>
      <c r="L167" s="61">
        <f t="shared" si="63"/>
        <v>1.2001640704000001</v>
      </c>
      <c r="M167" s="60">
        <f t="shared" si="64"/>
        <v>1.2055161616000001</v>
      </c>
      <c r="N167" s="61">
        <f t="shared" si="65"/>
        <v>1.1932503696000001</v>
      </c>
      <c r="O167" s="60">
        <f t="shared" si="66"/>
        <v>1.1999011599999998</v>
      </c>
      <c r="P167" s="61">
        <f t="shared" si="67"/>
        <v>1.19858704</v>
      </c>
      <c r="Q167" s="60">
        <f t="shared" si="68"/>
        <v>1.2028371392000001</v>
      </c>
      <c r="R167" s="61">
        <f t="shared" si="69"/>
        <v>1.1967022272000001</v>
      </c>
      <c r="S167" s="60">
        <f t="shared" si="70"/>
        <v>1.2000326079999999</v>
      </c>
      <c r="T167" s="61">
        <f t="shared" si="71"/>
        <v>1.1993675856000001</v>
      </c>
      <c r="U167" s="60">
        <f t="shared" si="72"/>
        <v>1.2027053839999999</v>
      </c>
      <c r="V167" s="61">
        <f t="shared" si="73"/>
        <v>1.196571144</v>
      </c>
      <c r="W167" s="60">
        <f t="shared" si="74"/>
        <v>1.1993752960000001</v>
      </c>
      <c r="X167" s="61">
        <f t="shared" si="75"/>
        <v>1.2020466080000001</v>
      </c>
      <c r="Y167" s="60">
        <f t="shared" si="76"/>
        <v>1.1959157279999999</v>
      </c>
      <c r="Z167" s="61">
        <f t="shared" si="77"/>
        <v>1.19924392</v>
      </c>
    </row>
    <row r="168" spans="2:26" s="1" customFormat="1" x14ac:dyDescent="0.3">
      <c r="B168" s="40">
        <v>45627</v>
      </c>
      <c r="C168" s="54">
        <v>1.0949</v>
      </c>
      <c r="D168" s="55">
        <v>1.0973999999999999</v>
      </c>
      <c r="E168" s="54">
        <v>1.0987</v>
      </c>
      <c r="F168" s="54">
        <v>1.0934999999999999</v>
      </c>
      <c r="G168" s="82">
        <f t="shared" si="58"/>
        <v>1.0949800000000001</v>
      </c>
      <c r="H168" s="58">
        <f t="shared" si="59"/>
        <v>1.0981999999999998</v>
      </c>
      <c r="I168" s="59">
        <f t="shared" si="60"/>
        <v>1.09118</v>
      </c>
      <c r="J168" s="58">
        <f t="shared" si="61"/>
        <v>1.09524</v>
      </c>
      <c r="K168" s="59">
        <f t="shared" si="62"/>
        <v>1.0949</v>
      </c>
      <c r="L168" s="61">
        <f t="shared" si="63"/>
        <v>1.1989812004000002</v>
      </c>
      <c r="M168" s="60">
        <f t="shared" si="64"/>
        <v>1.2060432399999996</v>
      </c>
      <c r="N168" s="61">
        <f t="shared" si="65"/>
        <v>1.1906737924000002</v>
      </c>
      <c r="O168" s="60">
        <f t="shared" si="66"/>
        <v>1.1995506575999999</v>
      </c>
      <c r="P168" s="61">
        <f t="shared" si="67"/>
        <v>1.19880601</v>
      </c>
      <c r="Q168" s="60">
        <f t="shared" si="68"/>
        <v>1.2025070359999999</v>
      </c>
      <c r="R168" s="61">
        <f t="shared" si="69"/>
        <v>1.1948202764000002</v>
      </c>
      <c r="S168" s="60">
        <f t="shared" si="70"/>
        <v>1.1992658952000002</v>
      </c>
      <c r="T168" s="61">
        <f t="shared" si="71"/>
        <v>1.198333876</v>
      </c>
      <c r="U168" s="60">
        <f t="shared" si="72"/>
        <v>1.2027925679999998</v>
      </c>
      <c r="V168" s="61">
        <f t="shared" si="73"/>
        <v>1.1951039832000001</v>
      </c>
      <c r="W168" s="60">
        <f t="shared" si="74"/>
        <v>1.1988936020000001</v>
      </c>
      <c r="X168" s="61">
        <f t="shared" si="75"/>
        <v>1.2024191799999999</v>
      </c>
      <c r="Y168" s="60">
        <f t="shared" si="76"/>
        <v>1.1947329820000001</v>
      </c>
      <c r="Z168" s="61">
        <f t="shared" si="77"/>
        <v>1.199178276</v>
      </c>
    </row>
    <row r="169" spans="2:26" s="1" customFormat="1" x14ac:dyDescent="0.3">
      <c r="B169" s="40">
        <v>45597</v>
      </c>
      <c r="C169" s="54">
        <v>1.097</v>
      </c>
      <c r="D169" s="55">
        <v>1.0972999999999999</v>
      </c>
      <c r="E169" s="54">
        <v>1.0991</v>
      </c>
      <c r="F169" s="54">
        <v>1.0929</v>
      </c>
      <c r="G169" s="82">
        <f t="shared" si="58"/>
        <v>1.0939399999999999</v>
      </c>
      <c r="H169" s="58">
        <f t="shared" si="59"/>
        <v>1.0978399999999999</v>
      </c>
      <c r="I169" s="59">
        <f t="shared" si="60"/>
        <v>1.0909</v>
      </c>
      <c r="J169" s="58">
        <f t="shared" si="61"/>
        <v>1.0947</v>
      </c>
      <c r="K169" s="59">
        <f t="shared" si="62"/>
        <v>1.097</v>
      </c>
      <c r="L169" s="61">
        <f t="shared" si="63"/>
        <v>1.1967047235999999</v>
      </c>
      <c r="M169" s="60">
        <f t="shared" si="64"/>
        <v>1.2052526655999998</v>
      </c>
      <c r="N169" s="61">
        <f t="shared" si="65"/>
        <v>1.1900628099999999</v>
      </c>
      <c r="O169" s="60">
        <f t="shared" si="66"/>
        <v>1.19836809</v>
      </c>
      <c r="P169" s="61">
        <f t="shared" si="67"/>
        <v>1.203409</v>
      </c>
      <c r="Q169" s="60">
        <f t="shared" si="68"/>
        <v>1.2009710895999999</v>
      </c>
      <c r="R169" s="61">
        <f t="shared" si="69"/>
        <v>1.1933791459999998</v>
      </c>
      <c r="S169" s="60">
        <f t="shared" si="70"/>
        <v>1.1975361179999999</v>
      </c>
      <c r="T169" s="61">
        <f t="shared" si="71"/>
        <v>1.1976336559999998</v>
      </c>
      <c r="U169" s="60">
        <f t="shared" si="72"/>
        <v>1.201805448</v>
      </c>
      <c r="V169" s="61">
        <f t="shared" si="73"/>
        <v>1.1942082300000001</v>
      </c>
      <c r="W169" s="60">
        <f t="shared" si="74"/>
        <v>1.2000521799999999</v>
      </c>
      <c r="X169" s="61">
        <f t="shared" si="75"/>
        <v>1.2043304799999999</v>
      </c>
      <c r="Y169" s="60">
        <f t="shared" si="76"/>
        <v>1.1967173</v>
      </c>
      <c r="Z169" s="61">
        <f t="shared" si="77"/>
        <v>1.2008859000000001</v>
      </c>
    </row>
    <row r="170" spans="2:26" s="1" customFormat="1" x14ac:dyDescent="0.3">
      <c r="B170" s="40">
        <v>45566</v>
      </c>
      <c r="C170" s="54">
        <v>1.0971</v>
      </c>
      <c r="D170" s="55">
        <v>1.0931</v>
      </c>
      <c r="E170" s="54">
        <v>1.0973999999999999</v>
      </c>
      <c r="F170" s="54">
        <v>1.0922000000000001</v>
      </c>
      <c r="G170" s="82">
        <f t="shared" si="58"/>
        <v>1.0941800000000002</v>
      </c>
      <c r="H170" s="58">
        <f t="shared" si="59"/>
        <v>1.09768</v>
      </c>
      <c r="I170" s="59">
        <f t="shared" si="60"/>
        <v>1.0903</v>
      </c>
      <c r="J170" s="58">
        <f t="shared" si="61"/>
        <v>1.0937000000000001</v>
      </c>
      <c r="K170" s="59">
        <f t="shared" si="62"/>
        <v>1.0971</v>
      </c>
      <c r="L170" s="61">
        <f t="shared" si="63"/>
        <v>1.1972298724000003</v>
      </c>
      <c r="M170" s="60">
        <f t="shared" si="64"/>
        <v>1.2049013823999999</v>
      </c>
      <c r="N170" s="61">
        <f t="shared" si="65"/>
        <v>1.1887540900000002</v>
      </c>
      <c r="O170" s="60">
        <f t="shared" si="66"/>
        <v>1.1961796900000004</v>
      </c>
      <c r="P170" s="61">
        <f t="shared" si="67"/>
        <v>1.2036284099999999</v>
      </c>
      <c r="Q170" s="60">
        <f t="shared" si="68"/>
        <v>1.2010595024000001</v>
      </c>
      <c r="R170" s="61">
        <f t="shared" si="69"/>
        <v>1.1929844540000003</v>
      </c>
      <c r="S170" s="60">
        <f t="shared" si="70"/>
        <v>1.1967046660000003</v>
      </c>
      <c r="T170" s="61">
        <f t="shared" si="71"/>
        <v>1.196800504</v>
      </c>
      <c r="U170" s="60">
        <f t="shared" si="72"/>
        <v>1.2005326160000001</v>
      </c>
      <c r="V170" s="61">
        <f t="shared" si="73"/>
        <v>1.1924611100000002</v>
      </c>
      <c r="W170" s="60">
        <f t="shared" si="74"/>
        <v>1.2004248780000002</v>
      </c>
      <c r="X170" s="61">
        <f t="shared" si="75"/>
        <v>1.2042647279999998</v>
      </c>
      <c r="Y170" s="60">
        <f t="shared" si="76"/>
        <v>1.19616813</v>
      </c>
      <c r="Z170" s="61">
        <f t="shared" si="77"/>
        <v>1.19989827</v>
      </c>
    </row>
    <row r="171" spans="2:26" s="1" customFormat="1" x14ac:dyDescent="0.3">
      <c r="B171" s="40">
        <v>45536</v>
      </c>
      <c r="C171" s="54">
        <v>1.0931</v>
      </c>
      <c r="D171" s="55">
        <v>1.0952</v>
      </c>
      <c r="E171" s="54">
        <v>1.0967</v>
      </c>
      <c r="F171" s="54">
        <v>1.091</v>
      </c>
      <c r="G171" s="82">
        <f t="shared" si="58"/>
        <v>1.09602</v>
      </c>
      <c r="H171" s="58">
        <f t="shared" si="59"/>
        <v>1.0992599999999999</v>
      </c>
      <c r="I171" s="59">
        <f t="shared" si="60"/>
        <v>1.0908599999999999</v>
      </c>
      <c r="J171" s="58">
        <f t="shared" si="61"/>
        <v>1.09402</v>
      </c>
      <c r="K171" s="59">
        <f t="shared" si="62"/>
        <v>1.0931</v>
      </c>
      <c r="L171" s="61">
        <f t="shared" si="63"/>
        <v>1.2012598403999999</v>
      </c>
      <c r="M171" s="60">
        <f t="shared" si="64"/>
        <v>1.2083725475999998</v>
      </c>
      <c r="N171" s="61">
        <f t="shared" si="65"/>
        <v>1.1899755395999998</v>
      </c>
      <c r="O171" s="60">
        <f t="shared" si="66"/>
        <v>1.1968797603999999</v>
      </c>
      <c r="P171" s="61">
        <f t="shared" si="67"/>
        <v>1.19486761</v>
      </c>
      <c r="Q171" s="60">
        <f t="shared" si="68"/>
        <v>1.2048109452</v>
      </c>
      <c r="R171" s="61">
        <f t="shared" si="69"/>
        <v>1.1956043772</v>
      </c>
      <c r="S171" s="60">
        <f t="shared" si="70"/>
        <v>1.1990678003999999</v>
      </c>
      <c r="T171" s="61">
        <f t="shared" si="71"/>
        <v>1.1991387635999999</v>
      </c>
      <c r="U171" s="60">
        <f t="shared" si="72"/>
        <v>1.2026124251999999</v>
      </c>
      <c r="V171" s="61">
        <f t="shared" si="73"/>
        <v>1.1934226572</v>
      </c>
      <c r="W171" s="60">
        <f t="shared" si="74"/>
        <v>1.198059462</v>
      </c>
      <c r="X171" s="61">
        <f t="shared" si="75"/>
        <v>1.2016011059999998</v>
      </c>
      <c r="Y171" s="60">
        <f t="shared" si="76"/>
        <v>1.1924190659999998</v>
      </c>
      <c r="Z171" s="61">
        <f t="shared" si="77"/>
        <v>1.1958732619999999</v>
      </c>
    </row>
    <row r="172" spans="2:26" s="1" customFormat="1" ht="15" thickBot="1" x14ac:dyDescent="0.35">
      <c r="B172" s="40">
        <v>45505</v>
      </c>
      <c r="C172" s="54">
        <v>1.0949</v>
      </c>
      <c r="D172" s="55">
        <v>1.0946</v>
      </c>
      <c r="E172" s="54">
        <v>1.0979000000000001</v>
      </c>
      <c r="F172" s="54">
        <v>1.0922000000000001</v>
      </c>
      <c r="G172" s="83">
        <f>AVERAGE(D173:D177)</f>
        <v>1.0979800000000002</v>
      </c>
      <c r="H172" s="68">
        <f t="shared" si="59"/>
        <v>1.1006400000000001</v>
      </c>
      <c r="I172" s="69">
        <f t="shared" si="60"/>
        <v>1.09314</v>
      </c>
      <c r="J172" s="68">
        <f t="shared" si="61"/>
        <v>1.09592</v>
      </c>
      <c r="K172" s="69">
        <f>C172</f>
        <v>1.0949</v>
      </c>
      <c r="L172" s="33">
        <f>G172^2</f>
        <v>1.2055600804000004</v>
      </c>
      <c r="M172" s="26">
        <f>H172^2</f>
        <v>1.2114084096000002</v>
      </c>
      <c r="N172" s="33">
        <f t="shared" si="65"/>
        <v>1.1949550596</v>
      </c>
      <c r="O172" s="26">
        <f t="shared" si="66"/>
        <v>1.2010406464000001</v>
      </c>
      <c r="P172" s="73">
        <f t="shared" si="67"/>
        <v>1.19880601</v>
      </c>
      <c r="Q172" s="26">
        <f t="shared" si="68"/>
        <v>1.2084807072000003</v>
      </c>
      <c r="R172" s="33">
        <f t="shared" si="69"/>
        <v>1.2002458572000001</v>
      </c>
      <c r="S172" s="26">
        <f t="shared" si="70"/>
        <v>1.2032982416000002</v>
      </c>
      <c r="T172" s="33">
        <f t="shared" si="71"/>
        <v>1.2031536096000002</v>
      </c>
      <c r="U172" s="26">
        <f t="shared" si="72"/>
        <v>1.2062133888000002</v>
      </c>
      <c r="V172" s="33">
        <f t="shared" si="73"/>
        <v>1.1979939888</v>
      </c>
      <c r="W172" s="72">
        <f t="shared" si="74"/>
        <v>1.2021783020000001</v>
      </c>
      <c r="X172" s="71">
        <f t="shared" si="75"/>
        <v>1.2050907360000001</v>
      </c>
      <c r="Y172" s="72">
        <f t="shared" si="76"/>
        <v>1.196878986</v>
      </c>
      <c r="Z172" s="71">
        <f t="shared" si="77"/>
        <v>1.199922808</v>
      </c>
    </row>
    <row r="173" spans="2:26" s="1" customFormat="1" x14ac:dyDescent="0.3">
      <c r="B173" s="40">
        <v>45413</v>
      </c>
      <c r="C173" s="54">
        <v>1.0941000000000001</v>
      </c>
      <c r="D173" s="55">
        <v>1.0947</v>
      </c>
      <c r="E173" s="54">
        <v>1.0999000000000001</v>
      </c>
      <c r="F173" s="54">
        <v>1.0875999999999999</v>
      </c>
      <c r="G173" s="59"/>
      <c r="H173" s="59"/>
      <c r="I173" s="59"/>
      <c r="J173" s="59"/>
      <c r="K173" s="59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2:26" s="1" customFormat="1" x14ac:dyDescent="0.3">
      <c r="B174" s="40">
        <v>45383</v>
      </c>
      <c r="C174" s="54">
        <v>1.0943000000000001</v>
      </c>
      <c r="D174" s="55">
        <v>1.0921000000000001</v>
      </c>
      <c r="E174" s="54">
        <v>1.0972999999999999</v>
      </c>
      <c r="F174" s="54">
        <v>1.0914999999999999</v>
      </c>
      <c r="G174" s="59"/>
      <c r="H174" s="59"/>
      <c r="I174" s="59"/>
      <c r="J174" s="59"/>
      <c r="K174" s="59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2:26" s="1" customFormat="1" x14ac:dyDescent="0.3">
      <c r="B175" s="40">
        <v>45352</v>
      </c>
      <c r="C175" s="54">
        <v>1.0921000000000001</v>
      </c>
      <c r="D175" s="55">
        <v>1.0943000000000001</v>
      </c>
      <c r="E175" s="54">
        <v>1.0966</v>
      </c>
      <c r="F175" s="54">
        <v>1.0891999999999999</v>
      </c>
      <c r="G175" s="59"/>
      <c r="H175" s="59"/>
      <c r="I175" s="59"/>
      <c r="J175" s="59"/>
      <c r="K175" s="59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2:26" x14ac:dyDescent="0.3">
      <c r="B176" s="40">
        <v>45323</v>
      </c>
      <c r="C176" s="54">
        <v>1.0947</v>
      </c>
      <c r="D176" s="55">
        <v>1.1044</v>
      </c>
      <c r="E176" s="54">
        <v>1.1046</v>
      </c>
      <c r="F176" s="54">
        <v>1.0938000000000001</v>
      </c>
    </row>
    <row r="177" spans="2:32" ht="15" thickBot="1" x14ac:dyDescent="0.35">
      <c r="B177" s="50">
        <v>45292</v>
      </c>
      <c r="C177" s="65">
        <v>1.1044</v>
      </c>
      <c r="D177" s="66">
        <v>1.1044</v>
      </c>
      <c r="E177" s="65">
        <v>1.1048</v>
      </c>
      <c r="F177" s="65">
        <v>1.1035999999999999</v>
      </c>
    </row>
    <row r="178" spans="2:32" x14ac:dyDescent="0.3">
      <c r="C178" s="59"/>
      <c r="D178" s="59"/>
      <c r="E178" s="59"/>
      <c r="F178" s="59"/>
      <c r="H178" s="60"/>
      <c r="I178" s="60"/>
      <c r="J178" s="60"/>
      <c r="K178" s="60"/>
      <c r="W178" s="1"/>
      <c r="X178" s="1"/>
      <c r="Y178" s="1"/>
      <c r="Z178" s="1"/>
      <c r="AC178"/>
      <c r="AD178"/>
      <c r="AE178"/>
      <c r="AF178"/>
    </row>
    <row r="179" spans="2:32" x14ac:dyDescent="0.3">
      <c r="C179" s="59"/>
      <c r="D179" s="59"/>
      <c r="E179" s="59"/>
      <c r="F179" s="59"/>
      <c r="H179" s="60"/>
      <c r="I179" s="60"/>
      <c r="J179" s="60"/>
      <c r="K179" s="60"/>
      <c r="W179" s="1"/>
      <c r="X179" s="1"/>
      <c r="Y179" s="1"/>
      <c r="Z179" s="1"/>
      <c r="AC179"/>
      <c r="AD179"/>
      <c r="AE179"/>
      <c r="AF179"/>
    </row>
    <row r="180" spans="2:32" x14ac:dyDescent="0.3">
      <c r="C180" s="59"/>
      <c r="D180" s="59"/>
      <c r="E180" s="59"/>
      <c r="F180" s="59"/>
      <c r="H180" s="60"/>
      <c r="I180" s="60"/>
      <c r="J180" s="60"/>
      <c r="K180" s="60"/>
      <c r="W180" s="1"/>
      <c r="X180" s="1"/>
      <c r="Y180" s="1"/>
      <c r="Z180" s="1"/>
      <c r="AC180"/>
      <c r="AD180"/>
      <c r="AE180"/>
      <c r="AF180"/>
    </row>
    <row r="181" spans="2:32" x14ac:dyDescent="0.3">
      <c r="C181" s="59"/>
      <c r="D181" s="59"/>
      <c r="E181" s="59"/>
      <c r="F181" s="59"/>
      <c r="H181" s="60"/>
      <c r="I181" s="60"/>
      <c r="J181" s="60"/>
      <c r="K181" s="60"/>
      <c r="W181" s="1"/>
      <c r="X181" s="1"/>
      <c r="Y181" s="1"/>
      <c r="Z181" s="1"/>
      <c r="AC181"/>
      <c r="AD181"/>
      <c r="AE181"/>
      <c r="AF181"/>
    </row>
    <row r="182" spans="2:32" x14ac:dyDescent="0.3">
      <c r="C182" s="59"/>
      <c r="D182" s="59"/>
      <c r="E182" s="59"/>
      <c r="F182" s="59"/>
      <c r="H182" s="60"/>
      <c r="I182" s="60"/>
      <c r="J182" s="60"/>
      <c r="K182" s="60"/>
      <c r="W182" s="1"/>
      <c r="X182" s="1"/>
      <c r="Y182" s="1"/>
      <c r="Z182" s="1"/>
      <c r="AC182"/>
      <c r="AD182"/>
      <c r="AE182"/>
      <c r="AF182"/>
    </row>
    <row r="183" spans="2:32" x14ac:dyDescent="0.3">
      <c r="C183" s="59"/>
      <c r="D183" s="59"/>
      <c r="E183" s="59"/>
      <c r="F183" s="59"/>
      <c r="H183" s="60"/>
      <c r="I183" s="60"/>
      <c r="J183" s="60"/>
      <c r="K183" s="60"/>
      <c r="W183" s="1"/>
      <c r="X183" s="1"/>
      <c r="Y183" s="1"/>
      <c r="Z183" s="1"/>
      <c r="AC183"/>
      <c r="AD183"/>
      <c r="AE183"/>
      <c r="AF183"/>
    </row>
    <row r="184" spans="2:32" x14ac:dyDescent="0.3">
      <c r="C184" s="59"/>
      <c r="D184" s="59"/>
      <c r="E184" s="59"/>
      <c r="F184" s="59"/>
      <c r="H184" s="60"/>
      <c r="I184" s="60"/>
      <c r="J184" s="60"/>
      <c r="K184" s="60"/>
      <c r="W184" s="1"/>
      <c r="X184" s="1"/>
      <c r="Y184" s="1"/>
      <c r="Z184" s="1"/>
      <c r="AC184"/>
      <c r="AD184"/>
      <c r="AE184"/>
      <c r="AF184"/>
    </row>
    <row r="185" spans="2:32" x14ac:dyDescent="0.3">
      <c r="C185" s="59"/>
      <c r="D185" s="59"/>
      <c r="E185" s="59"/>
      <c r="F185" s="59"/>
      <c r="H185" s="60"/>
      <c r="I185" s="60"/>
      <c r="J185" s="60"/>
      <c r="K185" s="60"/>
      <c r="W185" s="1"/>
      <c r="X185" s="1"/>
      <c r="Y185" s="1"/>
      <c r="Z185" s="1"/>
      <c r="AC185"/>
      <c r="AD185"/>
      <c r="AE185"/>
      <c r="AF185"/>
    </row>
    <row r="186" spans="2:32" x14ac:dyDescent="0.3">
      <c r="C186" s="59"/>
      <c r="D186" s="59"/>
      <c r="E186" s="59"/>
      <c r="F186" s="59"/>
      <c r="H186" s="60"/>
      <c r="I186" s="60"/>
      <c r="J186" s="60"/>
      <c r="K186" s="60"/>
      <c r="W186" s="1"/>
      <c r="X186" s="1"/>
      <c r="Y186" s="1"/>
      <c r="Z186" s="1"/>
      <c r="AC186"/>
      <c r="AD186"/>
      <c r="AE186"/>
      <c r="AF186"/>
    </row>
    <row r="187" spans="2:32" x14ac:dyDescent="0.3">
      <c r="C187" s="59"/>
      <c r="D187" s="59"/>
      <c r="E187" s="59"/>
      <c r="F187" s="59"/>
      <c r="H187" s="60"/>
      <c r="I187" s="60"/>
      <c r="J187" s="60"/>
      <c r="K187" s="60"/>
      <c r="W187" s="1"/>
      <c r="X187" s="1"/>
      <c r="Y187" s="1"/>
      <c r="Z187" s="1"/>
      <c r="AC187"/>
      <c r="AD187"/>
      <c r="AE187"/>
      <c r="AF187"/>
    </row>
    <row r="188" spans="2:32" x14ac:dyDescent="0.3">
      <c r="C188" s="59"/>
      <c r="D188" s="59"/>
      <c r="E188" s="59"/>
      <c r="F188" s="59"/>
      <c r="H188" s="60"/>
      <c r="I188" s="60"/>
      <c r="J188" s="60"/>
      <c r="K188" s="60"/>
      <c r="W188" s="1"/>
      <c r="X188" s="1"/>
      <c r="Y188" s="1"/>
      <c r="Z188" s="1"/>
      <c r="AC188"/>
      <c r="AD188"/>
      <c r="AE188"/>
      <c r="AF188"/>
    </row>
    <row r="189" spans="2:32" x14ac:dyDescent="0.3">
      <c r="C189" s="59"/>
      <c r="D189" s="59"/>
      <c r="E189" s="59"/>
      <c r="F189" s="59"/>
      <c r="H189" s="60"/>
      <c r="I189" s="60"/>
      <c r="J189" s="60"/>
      <c r="K189" s="60"/>
      <c r="W189" s="1"/>
      <c r="X189" s="1"/>
      <c r="Y189" s="1"/>
      <c r="Z189" s="1"/>
      <c r="AC189"/>
      <c r="AD189"/>
      <c r="AE189"/>
      <c r="AF189"/>
    </row>
    <row r="190" spans="2:32" x14ac:dyDescent="0.3">
      <c r="C190" s="59"/>
      <c r="D190" s="59"/>
      <c r="E190" s="59"/>
      <c r="F190" s="59"/>
      <c r="H190" s="60"/>
      <c r="I190" s="60"/>
      <c r="J190" s="60"/>
      <c r="K190" s="60"/>
      <c r="W190" s="1"/>
      <c r="X190" s="1"/>
      <c r="Y190" s="1"/>
      <c r="Z190" s="1"/>
      <c r="AC190"/>
      <c r="AD190"/>
      <c r="AE190"/>
      <c r="AF190"/>
    </row>
    <row r="191" spans="2:32" x14ac:dyDescent="0.3">
      <c r="C191" s="59"/>
      <c r="D191" s="59"/>
      <c r="E191" s="59"/>
      <c r="F191" s="59"/>
      <c r="H191" s="60"/>
      <c r="I191" s="60"/>
      <c r="J191" s="60"/>
      <c r="K191" s="60"/>
      <c r="W191" s="1"/>
      <c r="X191" s="1"/>
      <c r="Y191" s="1"/>
      <c r="Z191" s="1"/>
      <c r="AC191"/>
      <c r="AD191"/>
      <c r="AE191"/>
      <c r="AF191"/>
    </row>
    <row r="192" spans="2:32" x14ac:dyDescent="0.3">
      <c r="C192" s="59"/>
      <c r="D192" s="59"/>
      <c r="E192" s="59"/>
      <c r="F192" s="59"/>
      <c r="H192" s="60"/>
      <c r="I192" s="60"/>
      <c r="J192" s="60"/>
      <c r="K192" s="60"/>
      <c r="W192" s="1"/>
      <c r="X192" s="1"/>
      <c r="Y192" s="1"/>
      <c r="Z192" s="1"/>
      <c r="AC192"/>
      <c r="AD192"/>
      <c r="AE192"/>
      <c r="AF192"/>
    </row>
    <row r="193" spans="3:32" x14ac:dyDescent="0.3">
      <c r="C193" s="59"/>
      <c r="D193" s="59"/>
      <c r="E193" s="59"/>
      <c r="F193" s="59"/>
      <c r="H193" s="60"/>
      <c r="I193" s="60"/>
      <c r="J193" s="60"/>
      <c r="K193" s="60"/>
      <c r="W193" s="1"/>
      <c r="X193" s="1"/>
      <c r="Y193" s="1"/>
      <c r="Z193" s="1"/>
      <c r="AC193"/>
      <c r="AD193"/>
      <c r="AE193"/>
      <c r="AF193"/>
    </row>
    <row r="194" spans="3:32" x14ac:dyDescent="0.3">
      <c r="C194" s="59"/>
      <c r="D194" s="59"/>
      <c r="E194" s="59"/>
      <c r="F194" s="59"/>
      <c r="H194" s="60"/>
      <c r="I194" s="60"/>
      <c r="J194" s="60"/>
      <c r="K194" s="60"/>
      <c r="W194" s="1"/>
      <c r="X194" s="1"/>
      <c r="Y194" s="1"/>
      <c r="Z194" s="1"/>
      <c r="AC194"/>
      <c r="AD194"/>
      <c r="AE194"/>
      <c r="AF194"/>
    </row>
    <row r="195" spans="3:32" x14ac:dyDescent="0.3">
      <c r="C195" s="59"/>
      <c r="D195" s="59"/>
      <c r="E195" s="59"/>
      <c r="F195" s="59"/>
      <c r="H195" s="60"/>
      <c r="I195" s="60"/>
      <c r="J195" s="60"/>
      <c r="K195" s="60"/>
      <c r="W195" s="1"/>
      <c r="X195" s="1"/>
      <c r="Y195" s="1"/>
      <c r="Z195" s="1"/>
      <c r="AC195"/>
      <c r="AD195"/>
      <c r="AE195"/>
      <c r="AF195"/>
    </row>
    <row r="196" spans="3:32" x14ac:dyDescent="0.3">
      <c r="C196" s="59"/>
      <c r="D196" s="59"/>
      <c r="E196" s="59"/>
      <c r="F196" s="59"/>
      <c r="H196" s="60"/>
      <c r="I196" s="60"/>
      <c r="J196" s="60"/>
      <c r="K196" s="60"/>
      <c r="W196" s="1"/>
      <c r="X196" s="1"/>
      <c r="Y196" s="1"/>
      <c r="Z196" s="1"/>
      <c r="AC196"/>
      <c r="AD196"/>
      <c r="AE196"/>
      <c r="AF196"/>
    </row>
    <row r="197" spans="3:32" x14ac:dyDescent="0.3">
      <c r="C197" s="59"/>
      <c r="D197" s="59"/>
      <c r="E197" s="59"/>
      <c r="F197" s="59"/>
      <c r="H197" s="60"/>
      <c r="I197" s="60"/>
      <c r="J197" s="60"/>
      <c r="K197" s="60"/>
      <c r="W197" s="1"/>
      <c r="X197" s="1"/>
      <c r="Y197" s="1"/>
      <c r="Z197" s="1"/>
      <c r="AC197"/>
      <c r="AD197"/>
      <c r="AE197"/>
      <c r="AF197"/>
    </row>
    <row r="198" spans="3:32" x14ac:dyDescent="0.3">
      <c r="C198" s="59"/>
      <c r="D198" s="59"/>
      <c r="E198" s="59"/>
      <c r="F198" s="59"/>
      <c r="H198" s="60"/>
      <c r="I198" s="60"/>
      <c r="J198" s="60"/>
      <c r="K198" s="60"/>
      <c r="W198" s="1"/>
      <c r="X198" s="1"/>
      <c r="Y198" s="1"/>
      <c r="Z198" s="1"/>
      <c r="AC198"/>
      <c r="AD198"/>
      <c r="AE198"/>
      <c r="AF1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744B-C540-4FD2-9E95-5593FC1396B9}">
  <dimension ref="B1:AH210"/>
  <sheetViews>
    <sheetView tabSelected="1" topLeftCell="I175" zoomScale="120" zoomScaleNormal="120" workbookViewId="0">
      <selection activeCell="L193" sqref="L193"/>
    </sheetView>
  </sheetViews>
  <sheetFormatPr defaultRowHeight="14.4" x14ac:dyDescent="0.3"/>
  <cols>
    <col min="2" max="2" width="10.6640625" style="1" bestFit="1" customWidth="1"/>
    <col min="3" max="8" width="17.77734375" style="1" bestFit="1" customWidth="1"/>
    <col min="9" max="9" width="15.77734375" style="1" customWidth="1"/>
    <col min="10" max="10" width="22.88671875" style="1" bestFit="1" customWidth="1"/>
    <col min="11" max="11" width="23.109375" style="1" bestFit="1" customWidth="1"/>
    <col min="12" max="12" width="15.77734375" style="1" customWidth="1"/>
    <col min="13" max="13" width="17.88671875" style="1" bestFit="1" customWidth="1"/>
    <col min="14" max="14" width="15.77734375" style="1" customWidth="1"/>
    <col min="15" max="15" width="16.77734375" style="1" bestFit="1" customWidth="1"/>
    <col min="16" max="16" width="21.88671875" style="1" bestFit="1" customWidth="1"/>
    <col min="17" max="26" width="15.77734375" style="1" customWidth="1"/>
    <col min="27" max="27" width="12" style="1" bestFit="1" customWidth="1"/>
    <col min="28" max="28" width="12.6640625" style="1" bestFit="1" customWidth="1"/>
    <col min="29" max="29" width="9.6640625" style="1" bestFit="1" customWidth="1"/>
    <col min="30" max="30" width="22.88671875" style="2" bestFit="1" customWidth="1"/>
    <col min="31" max="31" width="23.109375" style="43" bestFit="1" customWidth="1"/>
    <col min="32" max="32" width="22.5546875" style="1" bestFit="1" customWidth="1"/>
    <col min="33" max="33" width="21.88671875" style="1" bestFit="1" customWidth="1"/>
    <col min="34" max="34" width="18.5546875" style="1" bestFit="1" customWidth="1"/>
  </cols>
  <sheetData>
    <row r="1" spans="2:34" ht="15" thickBot="1" x14ac:dyDescent="0.35"/>
    <row r="2" spans="2:34" ht="15" thickBot="1" x14ac:dyDescent="0.35">
      <c r="B2" s="14" t="s">
        <v>0</v>
      </c>
      <c r="C2" s="52" t="s">
        <v>1</v>
      </c>
      <c r="D2" s="53" t="s">
        <v>2</v>
      </c>
      <c r="E2" s="52" t="s">
        <v>3</v>
      </c>
      <c r="F2" s="53" t="s">
        <v>4</v>
      </c>
      <c r="G2" s="56" t="s">
        <v>45</v>
      </c>
      <c r="H2" s="57" t="s">
        <v>46</v>
      </c>
      <c r="I2" s="56" t="s">
        <v>47</v>
      </c>
      <c r="J2" s="57" t="s">
        <v>48</v>
      </c>
      <c r="K2" s="52" t="s">
        <v>49</v>
      </c>
      <c r="L2" s="12" t="s">
        <v>50</v>
      </c>
      <c r="M2" s="11" t="s">
        <v>51</v>
      </c>
      <c r="N2" s="12" t="s">
        <v>52</v>
      </c>
      <c r="O2" s="11" t="s">
        <v>53</v>
      </c>
      <c r="P2" s="12" t="s">
        <v>54</v>
      </c>
      <c r="Q2" s="63" t="s">
        <v>55</v>
      </c>
      <c r="R2" s="64" t="s">
        <v>56</v>
      </c>
      <c r="S2" s="63" t="s">
        <v>57</v>
      </c>
      <c r="T2" s="64" t="s">
        <v>58</v>
      </c>
      <c r="U2" s="63" t="s">
        <v>59</v>
      </c>
      <c r="V2" s="64" t="s">
        <v>60</v>
      </c>
      <c r="W2" s="63" t="s">
        <v>61</v>
      </c>
      <c r="X2" s="64" t="s">
        <v>62</v>
      </c>
      <c r="Y2" s="63" t="s">
        <v>63</v>
      </c>
      <c r="Z2" s="64" t="s">
        <v>64</v>
      </c>
      <c r="AA2" s="11" t="s">
        <v>71</v>
      </c>
      <c r="AB2" s="12" t="s">
        <v>72</v>
      </c>
      <c r="AC2" s="11" t="s">
        <v>73</v>
      </c>
      <c r="AD2" s="15" t="s">
        <v>75</v>
      </c>
      <c r="AE2" s="44" t="s">
        <v>88</v>
      </c>
      <c r="AF2" s="12" t="s">
        <v>76</v>
      </c>
      <c r="AG2" s="11" t="s">
        <v>77</v>
      </c>
      <c r="AH2" s="13" t="s">
        <v>78</v>
      </c>
    </row>
    <row r="3" spans="2:34" x14ac:dyDescent="0.3">
      <c r="B3" s="9" t="s">
        <v>7</v>
      </c>
      <c r="C3" s="54">
        <v>1.1047</v>
      </c>
      <c r="D3" s="55">
        <v>1.1076999999999999</v>
      </c>
      <c r="E3" s="54">
        <v>1.1094999999999999</v>
      </c>
      <c r="F3" s="55">
        <v>1.1044</v>
      </c>
      <c r="G3" s="58">
        <v>1.1153</v>
      </c>
      <c r="H3" s="59">
        <v>1.1184000000000001</v>
      </c>
      <c r="I3" s="58">
        <v>1.1113000000000002</v>
      </c>
      <c r="J3" s="59">
        <v>1.1146400000000001</v>
      </c>
      <c r="K3" s="54">
        <v>1.1047</v>
      </c>
      <c r="L3" s="60">
        <v>1.24389409</v>
      </c>
      <c r="M3" s="61">
        <v>1.2508185600000001</v>
      </c>
      <c r="N3" s="60">
        <v>1.2349876900000003</v>
      </c>
      <c r="O3" s="61">
        <v>1.2424223296000001</v>
      </c>
      <c r="P3" s="60">
        <v>1.2203620900000001</v>
      </c>
      <c r="Q3" s="36">
        <v>1.24735152</v>
      </c>
      <c r="R3" s="23">
        <v>1.2394328900000002</v>
      </c>
      <c r="S3" s="36">
        <v>1.243157992</v>
      </c>
      <c r="T3" s="23">
        <v>1.2428779200000002</v>
      </c>
      <c r="U3" s="36">
        <v>1.2466133760000002</v>
      </c>
      <c r="V3" s="23">
        <v>1.2386994320000002</v>
      </c>
      <c r="W3" s="36">
        <v>1.2320719099999999</v>
      </c>
      <c r="X3" s="23">
        <v>1.2354964800000001</v>
      </c>
      <c r="Y3" s="36">
        <v>1.2276531100000001</v>
      </c>
      <c r="Z3" s="23">
        <v>1.2313428080000002</v>
      </c>
      <c r="AA3" s="9">
        <f>J$177+(K$177*G3)+(L$177*H3)+(M$177*I3)+(N$177*J3)</f>
        <v>1.110272609005964</v>
      </c>
      <c r="AB3" s="1">
        <f t="shared" ref="AB3:AB34" si="0">K3-AA3</f>
        <v>-5.5726090059640132E-3</v>
      </c>
      <c r="AC3" s="9">
        <f t="shared" ref="AC3:AC34" si="1">K3-O$177</f>
        <v>2.0837058823529597E-2</v>
      </c>
      <c r="AD3" s="2">
        <f>AB3^2</f>
        <v>3.1053971133351228E-5</v>
      </c>
      <c r="AE3" s="45">
        <f>AC3^2</f>
        <v>4.3418302041523264E-4</v>
      </c>
      <c r="AF3" s="3">
        <f t="shared" ref="AF3:AF34" si="2">AB3/K3</f>
        <v>-5.0444546084584168E-3</v>
      </c>
      <c r="AG3" s="17">
        <f>ABS(AF3)</f>
        <v>5.0444546084584168E-3</v>
      </c>
      <c r="AH3" s="5">
        <f>AG3*100</f>
        <v>0.50444546084584163</v>
      </c>
    </row>
    <row r="4" spans="2:34" x14ac:dyDescent="0.3">
      <c r="B4" s="9" t="s">
        <v>8</v>
      </c>
      <c r="C4" s="54">
        <v>1.1076999999999999</v>
      </c>
      <c r="D4" s="55">
        <v>1.1119000000000001</v>
      </c>
      <c r="E4" s="54">
        <v>1.1141000000000001</v>
      </c>
      <c r="F4" s="55">
        <v>1.1054999999999999</v>
      </c>
      <c r="G4" s="58">
        <v>1.11592</v>
      </c>
      <c r="H4" s="59">
        <v>1.1188800000000001</v>
      </c>
      <c r="I4" s="58">
        <v>1.1121400000000001</v>
      </c>
      <c r="J4" s="59">
        <v>1.1153400000000002</v>
      </c>
      <c r="K4" s="54">
        <v>1.1076999999999999</v>
      </c>
      <c r="L4" s="60">
        <v>1.2452774464</v>
      </c>
      <c r="M4" s="61">
        <v>1.2518924544000003</v>
      </c>
      <c r="N4" s="60">
        <v>1.2368553796000004</v>
      </c>
      <c r="O4" s="61">
        <v>1.2439833156000004</v>
      </c>
      <c r="P4" s="60">
        <v>1.2269992899999997</v>
      </c>
      <c r="Q4" s="36">
        <v>1.2485805696000001</v>
      </c>
      <c r="R4" s="23">
        <v>1.2410592688000002</v>
      </c>
      <c r="S4" s="36">
        <v>1.2446302128000002</v>
      </c>
      <c r="T4" s="23">
        <v>1.2443512032000001</v>
      </c>
      <c r="U4" s="36">
        <v>1.2479316192000003</v>
      </c>
      <c r="V4" s="23">
        <v>1.2404142276000003</v>
      </c>
      <c r="W4" s="36">
        <v>1.236104584</v>
      </c>
      <c r="X4" s="23">
        <v>1.2393833759999999</v>
      </c>
      <c r="Y4" s="36">
        <v>1.231917478</v>
      </c>
      <c r="Z4" s="23">
        <v>1.2354621180000001</v>
      </c>
      <c r="AA4" s="9">
        <f t="shared" ref="AA4:AA34" si="3">J$177+(K$177*G4)+(L$177*H4)+(M$177*I4)+(N$177*J4)</f>
        <v>1.1111284112088549</v>
      </c>
      <c r="AB4" s="1">
        <f t="shared" si="0"/>
        <v>-3.4284112088549534E-3</v>
      </c>
      <c r="AC4" s="9">
        <f t="shared" si="1"/>
        <v>2.3837058823529489E-2</v>
      </c>
      <c r="AD4" s="2">
        <f t="shared" ref="AD4:AE53" si="4">AB4^2</f>
        <v>1.1754003417002283E-5</v>
      </c>
      <c r="AE4" s="45">
        <f t="shared" si="4"/>
        <v>5.6820537335640505E-4</v>
      </c>
      <c r="AF4" s="3">
        <f t="shared" si="2"/>
        <v>-3.0950719588832298E-3</v>
      </c>
      <c r="AG4" s="17">
        <f t="shared" ref="AG4:AG52" si="5">ABS(AF4)</f>
        <v>3.0950719588832298E-3</v>
      </c>
      <c r="AH4" s="5">
        <f t="shared" ref="AH4:AH52" si="6">AG4*100</f>
        <v>0.30950719588832298</v>
      </c>
    </row>
    <row r="5" spans="2:34" x14ac:dyDescent="0.3">
      <c r="B5" s="9" t="s">
        <v>9</v>
      </c>
      <c r="C5" s="54">
        <v>1.1120000000000001</v>
      </c>
      <c r="D5" s="55">
        <v>1.1184000000000001</v>
      </c>
      <c r="E5" s="54">
        <v>1.1186</v>
      </c>
      <c r="F5" s="55">
        <v>1.1105</v>
      </c>
      <c r="G5" s="58">
        <v>1.1148</v>
      </c>
      <c r="H5" s="59">
        <v>1.1186200000000002</v>
      </c>
      <c r="I5" s="58">
        <v>1.11202</v>
      </c>
      <c r="J5" s="59">
        <v>1.1159400000000002</v>
      </c>
      <c r="K5" s="54">
        <v>1.1120000000000001</v>
      </c>
      <c r="L5" s="60">
        <v>1.2427790400000001</v>
      </c>
      <c r="M5" s="61">
        <v>1.2513107044000005</v>
      </c>
      <c r="N5" s="60">
        <v>1.2365884804</v>
      </c>
      <c r="O5" s="61">
        <v>1.2453220836000003</v>
      </c>
      <c r="P5" s="60">
        <v>1.2365440000000003</v>
      </c>
      <c r="Q5" s="36">
        <v>1.2470375760000003</v>
      </c>
      <c r="R5" s="23">
        <v>1.2396798959999999</v>
      </c>
      <c r="S5" s="36">
        <v>1.2440499120000001</v>
      </c>
      <c r="T5" s="23">
        <v>1.2439278124000002</v>
      </c>
      <c r="U5" s="36">
        <v>1.2483128028000003</v>
      </c>
      <c r="V5" s="23">
        <v>1.2409475988000003</v>
      </c>
      <c r="W5" s="36">
        <v>1.2396576000000001</v>
      </c>
      <c r="X5" s="23">
        <v>1.2439054400000003</v>
      </c>
      <c r="Y5" s="36">
        <v>1.2365662400000001</v>
      </c>
      <c r="Z5" s="23">
        <v>1.2409252800000004</v>
      </c>
      <c r="AA5" s="9">
        <f t="shared" si="3"/>
        <v>1.1152149204136608</v>
      </c>
      <c r="AB5" s="1">
        <f t="shared" si="0"/>
        <v>-3.2149204136606713E-3</v>
      </c>
      <c r="AC5" s="9">
        <f t="shared" si="1"/>
        <v>2.8137058823529681E-2</v>
      </c>
      <c r="AD5" s="2">
        <f t="shared" si="4"/>
        <v>1.0335713266172101E-5</v>
      </c>
      <c r="AE5" s="45">
        <f t="shared" si="4"/>
        <v>7.9169407923876953E-4</v>
      </c>
      <c r="AF5" s="3">
        <f t="shared" si="2"/>
        <v>-2.8911154799106755E-3</v>
      </c>
      <c r="AG5" s="17">
        <f t="shared" si="5"/>
        <v>2.8911154799106755E-3</v>
      </c>
      <c r="AH5" s="5">
        <f t="shared" si="6"/>
        <v>0.28911154799106753</v>
      </c>
    </row>
    <row r="6" spans="2:34" x14ac:dyDescent="0.3">
      <c r="B6" s="9" t="s">
        <v>10</v>
      </c>
      <c r="C6" s="54">
        <v>1.1184000000000001</v>
      </c>
      <c r="D6" s="55">
        <v>1.1161000000000001</v>
      </c>
      <c r="E6" s="54">
        <v>1.1191</v>
      </c>
      <c r="F6" s="55">
        <v>1.115</v>
      </c>
      <c r="G6" s="58">
        <v>1.11328</v>
      </c>
      <c r="H6" s="59">
        <v>1.1173999999999999</v>
      </c>
      <c r="I6" s="58">
        <v>1.1104400000000001</v>
      </c>
      <c r="J6" s="59">
        <v>1.1148600000000002</v>
      </c>
      <c r="K6" s="54">
        <v>1.1184000000000001</v>
      </c>
      <c r="L6" s="60">
        <v>1.2393923584000002</v>
      </c>
      <c r="M6" s="61">
        <v>1.2485827599999999</v>
      </c>
      <c r="N6" s="60">
        <v>1.2330769936000001</v>
      </c>
      <c r="O6" s="61">
        <v>1.2429128196000003</v>
      </c>
      <c r="P6" s="60">
        <v>1.2508185600000001</v>
      </c>
      <c r="Q6" s="36">
        <v>1.2439790719999999</v>
      </c>
      <c r="R6" s="23">
        <v>1.2362306432000001</v>
      </c>
      <c r="S6" s="36">
        <v>1.2411513408000003</v>
      </c>
      <c r="T6" s="23">
        <v>1.240805656</v>
      </c>
      <c r="U6" s="36">
        <v>1.2457445640000002</v>
      </c>
      <c r="V6" s="23">
        <v>1.2379851384000002</v>
      </c>
      <c r="W6" s="36">
        <v>1.2450923520000001</v>
      </c>
      <c r="X6" s="23">
        <v>1.2497001599999999</v>
      </c>
      <c r="Y6" s="36">
        <v>1.2419160960000002</v>
      </c>
      <c r="Z6" s="23">
        <v>1.2468594240000004</v>
      </c>
      <c r="AA6" s="9">
        <f t="shared" si="3"/>
        <v>1.1149778415745253</v>
      </c>
      <c r="AB6" s="1">
        <f t="shared" si="0"/>
        <v>3.422158425474775E-3</v>
      </c>
      <c r="AC6" s="9">
        <f t="shared" si="1"/>
        <v>3.4537058823529643E-2</v>
      </c>
      <c r="AD6" s="2">
        <f t="shared" si="4"/>
        <v>1.1711168289047991E-5</v>
      </c>
      <c r="AE6" s="45">
        <f t="shared" si="4"/>
        <v>1.1928084321799468E-3</v>
      </c>
      <c r="AF6" s="3">
        <f t="shared" si="2"/>
        <v>3.0598698367979029E-3</v>
      </c>
      <c r="AG6" s="17">
        <f t="shared" si="5"/>
        <v>3.0598698367979029E-3</v>
      </c>
      <c r="AH6" s="5">
        <f t="shared" si="6"/>
        <v>0.30598698367979027</v>
      </c>
    </row>
    <row r="7" spans="2:34" x14ac:dyDescent="0.3">
      <c r="B7" s="9" t="s">
        <v>11</v>
      </c>
      <c r="C7" s="54">
        <v>1.1161000000000001</v>
      </c>
      <c r="D7" s="55">
        <v>1.1188</v>
      </c>
      <c r="E7" s="54">
        <v>1.1202000000000001</v>
      </c>
      <c r="F7" s="55">
        <v>1.115</v>
      </c>
      <c r="G7" s="58">
        <v>1.1100000000000001</v>
      </c>
      <c r="H7" s="59">
        <v>1.1150800000000003</v>
      </c>
      <c r="I7" s="58">
        <v>1.1078800000000002</v>
      </c>
      <c r="J7" s="59">
        <v>1.11334</v>
      </c>
      <c r="K7" s="54">
        <v>1.1161000000000001</v>
      </c>
      <c r="L7" s="60">
        <v>1.2321000000000002</v>
      </c>
      <c r="M7" s="61">
        <v>1.2434034064000006</v>
      </c>
      <c r="N7" s="60">
        <v>1.2273980944000005</v>
      </c>
      <c r="O7" s="61">
        <v>1.2395259556</v>
      </c>
      <c r="P7" s="60">
        <v>1.2456792100000003</v>
      </c>
      <c r="Q7" s="36">
        <v>1.2377388000000005</v>
      </c>
      <c r="R7" s="23">
        <v>1.2297468000000003</v>
      </c>
      <c r="S7" s="36">
        <v>1.2358074000000001</v>
      </c>
      <c r="T7" s="23">
        <v>1.2353748304000005</v>
      </c>
      <c r="U7" s="36">
        <v>1.2414631672000003</v>
      </c>
      <c r="V7" s="23">
        <v>1.2334471192000003</v>
      </c>
      <c r="W7" s="36">
        <v>1.2388710000000003</v>
      </c>
      <c r="X7" s="23">
        <v>1.2445407880000003</v>
      </c>
      <c r="Y7" s="36">
        <v>1.2365048680000004</v>
      </c>
      <c r="Z7" s="23">
        <v>1.2425987740000002</v>
      </c>
      <c r="AA7" s="9">
        <f t="shared" si="3"/>
        <v>1.1170715008464145</v>
      </c>
      <c r="AB7" s="1">
        <f t="shared" si="0"/>
        <v>-9.7150084641439705E-4</v>
      </c>
      <c r="AC7" s="9">
        <f t="shared" si="1"/>
        <v>3.2237058823529674E-2</v>
      </c>
      <c r="AD7" s="2">
        <f t="shared" si="4"/>
        <v>9.4381389458388985E-7</v>
      </c>
      <c r="AE7" s="45">
        <f t="shared" si="4"/>
        <v>1.0392279615917125E-3</v>
      </c>
      <c r="AF7" s="3">
        <f t="shared" si="2"/>
        <v>-8.7044247505993814E-4</v>
      </c>
      <c r="AG7" s="17">
        <f t="shared" si="5"/>
        <v>8.7044247505993814E-4</v>
      </c>
      <c r="AH7" s="5">
        <f t="shared" si="6"/>
        <v>8.7044247505993808E-2</v>
      </c>
    </row>
    <row r="8" spans="2:34" x14ac:dyDescent="0.3">
      <c r="B8" s="9" t="s">
        <v>12</v>
      </c>
      <c r="C8" s="54">
        <v>1.119</v>
      </c>
      <c r="D8" s="55">
        <v>1.1113</v>
      </c>
      <c r="E8" s="54">
        <v>1.1200000000000001</v>
      </c>
      <c r="F8" s="55">
        <v>1.1105</v>
      </c>
      <c r="G8" s="58">
        <v>1.1071800000000001</v>
      </c>
      <c r="H8" s="59">
        <v>1.11168</v>
      </c>
      <c r="I8" s="58">
        <v>1.1051800000000001</v>
      </c>
      <c r="J8" s="59">
        <v>1.1101000000000001</v>
      </c>
      <c r="K8" s="54">
        <v>1.119</v>
      </c>
      <c r="L8" s="60">
        <v>1.2258475524000001</v>
      </c>
      <c r="M8" s="61">
        <v>1.2358324223999999</v>
      </c>
      <c r="N8" s="60">
        <v>1.2214228324</v>
      </c>
      <c r="O8" s="61">
        <v>1.2323220100000003</v>
      </c>
      <c r="P8" s="60">
        <v>1.2521610000000001</v>
      </c>
      <c r="Q8" s="36">
        <v>1.2308298624</v>
      </c>
      <c r="R8" s="23">
        <v>1.2236331924000001</v>
      </c>
      <c r="S8" s="36">
        <v>1.2290805180000002</v>
      </c>
      <c r="T8" s="23">
        <v>1.2286065024000001</v>
      </c>
      <c r="U8" s="36">
        <v>1.2340759680000002</v>
      </c>
      <c r="V8" s="23">
        <v>1.2268603180000002</v>
      </c>
      <c r="W8" s="36">
        <v>1.2389344200000001</v>
      </c>
      <c r="X8" s="23">
        <v>1.2439699200000001</v>
      </c>
      <c r="Y8" s="36">
        <v>1.2366964200000001</v>
      </c>
      <c r="Z8" s="23">
        <v>1.2422019000000002</v>
      </c>
      <c r="AA8" s="9">
        <f t="shared" si="3"/>
        <v>1.1134066329199117</v>
      </c>
      <c r="AB8" s="1">
        <f t="shared" si="0"/>
        <v>5.5933670800882851E-3</v>
      </c>
      <c r="AC8" s="9">
        <f t="shared" si="1"/>
        <v>3.5137058823529577E-2</v>
      </c>
      <c r="AD8" s="2">
        <f t="shared" si="4"/>
        <v>3.1285755292615346E-5</v>
      </c>
      <c r="AE8" s="45">
        <f t="shared" si="4"/>
        <v>1.2346129027681777E-3</v>
      </c>
      <c r="AF8" s="3">
        <f t="shared" si="2"/>
        <v>4.9985407328760369E-3</v>
      </c>
      <c r="AG8" s="17">
        <f t="shared" si="5"/>
        <v>4.9985407328760369E-3</v>
      </c>
      <c r="AH8" s="5">
        <f t="shared" si="6"/>
        <v>0.49985407328760367</v>
      </c>
    </row>
    <row r="9" spans="2:34" x14ac:dyDescent="0.3">
      <c r="B9" s="9" t="s">
        <v>13</v>
      </c>
      <c r="C9" s="54">
        <v>1.1112</v>
      </c>
      <c r="D9" s="55">
        <v>1.115</v>
      </c>
      <c r="E9" s="54">
        <v>1.1165</v>
      </c>
      <c r="F9" s="55">
        <v>1.1096999999999999</v>
      </c>
      <c r="G9" s="58">
        <v>1.10442</v>
      </c>
      <c r="H9" s="59">
        <v>1.1087</v>
      </c>
      <c r="I9" s="58">
        <v>1.10222</v>
      </c>
      <c r="J9" s="59">
        <v>1.10728</v>
      </c>
      <c r="K9" s="54">
        <v>1.1112</v>
      </c>
      <c r="L9" s="60">
        <v>1.2197435364</v>
      </c>
      <c r="M9" s="61">
        <v>1.22921569</v>
      </c>
      <c r="N9" s="60">
        <v>1.2148889284</v>
      </c>
      <c r="O9" s="61">
        <v>1.2260689984000002</v>
      </c>
      <c r="P9" s="60">
        <v>1.2347654399999999</v>
      </c>
      <c r="Q9" s="36">
        <v>1.224470454</v>
      </c>
      <c r="R9" s="23">
        <v>1.2173138124</v>
      </c>
      <c r="S9" s="36">
        <v>1.2229021776</v>
      </c>
      <c r="T9" s="23">
        <v>1.2220313140000001</v>
      </c>
      <c r="U9" s="36">
        <v>1.227641336</v>
      </c>
      <c r="V9" s="23">
        <v>1.2204661616000001</v>
      </c>
      <c r="W9" s="36">
        <v>1.2272315039999999</v>
      </c>
      <c r="X9" s="23">
        <v>1.2319874399999999</v>
      </c>
      <c r="Y9" s="36">
        <v>1.2247868639999999</v>
      </c>
      <c r="Z9" s="23">
        <v>1.230409536</v>
      </c>
      <c r="AA9" s="9">
        <f t="shared" si="3"/>
        <v>1.1105912268844826</v>
      </c>
      <c r="AB9" s="1">
        <f t="shared" si="0"/>
        <v>6.0877311551732483E-4</v>
      </c>
      <c r="AC9" s="9">
        <f t="shared" si="1"/>
        <v>2.7337058823529548E-2</v>
      </c>
      <c r="AD9" s="2">
        <f t="shared" si="4"/>
        <v>3.7060470617667013E-7</v>
      </c>
      <c r="AE9" s="45">
        <f t="shared" si="4"/>
        <v>7.4731478512111472E-4</v>
      </c>
      <c r="AF9" s="3">
        <f t="shared" si="2"/>
        <v>5.478519758075278E-4</v>
      </c>
      <c r="AG9" s="17">
        <f t="shared" si="5"/>
        <v>5.478519758075278E-4</v>
      </c>
      <c r="AH9" s="5">
        <f t="shared" si="6"/>
        <v>5.478519758075278E-2</v>
      </c>
    </row>
    <row r="10" spans="2:34" x14ac:dyDescent="0.3">
      <c r="B10" s="9" t="s">
        <v>14</v>
      </c>
      <c r="C10" s="54">
        <v>1.115</v>
      </c>
      <c r="D10" s="55">
        <v>1.1128</v>
      </c>
      <c r="E10" s="54">
        <v>1.1173</v>
      </c>
      <c r="F10" s="55">
        <v>1.1099000000000001</v>
      </c>
      <c r="G10" s="58">
        <v>1.1016999999999999</v>
      </c>
      <c r="H10" s="59">
        <v>1.1061999999999999</v>
      </c>
      <c r="I10" s="58">
        <v>1.0999199999999998</v>
      </c>
      <c r="J10" s="59">
        <v>1.1045200000000002</v>
      </c>
      <c r="K10" s="54">
        <v>1.115</v>
      </c>
      <c r="L10" s="60">
        <v>1.2137428899999998</v>
      </c>
      <c r="M10" s="61">
        <v>1.2236784399999996</v>
      </c>
      <c r="N10" s="60">
        <v>1.2098240063999994</v>
      </c>
      <c r="O10" s="61">
        <v>1.2199644304000004</v>
      </c>
      <c r="P10" s="60">
        <v>1.243225</v>
      </c>
      <c r="Q10" s="36">
        <v>1.2187005399999997</v>
      </c>
      <c r="R10" s="23">
        <v>1.2117818639999998</v>
      </c>
      <c r="S10" s="36">
        <v>1.216849684</v>
      </c>
      <c r="T10" s="23">
        <v>1.2167315039999995</v>
      </c>
      <c r="U10" s="36">
        <v>1.2218200240000001</v>
      </c>
      <c r="V10" s="23">
        <v>1.2148836383999999</v>
      </c>
      <c r="W10" s="36">
        <v>1.2283955</v>
      </c>
      <c r="X10" s="23">
        <v>1.2334129999999999</v>
      </c>
      <c r="Y10" s="36">
        <v>1.2264107999999998</v>
      </c>
      <c r="Z10" s="23">
        <v>1.2315398000000002</v>
      </c>
      <c r="AA10" s="9">
        <f t="shared" si="3"/>
        <v>1.1083416674409283</v>
      </c>
      <c r="AB10" s="1">
        <f t="shared" si="0"/>
        <v>6.6583325590716669E-3</v>
      </c>
      <c r="AC10" s="9">
        <f t="shared" si="1"/>
        <v>3.1137058823529573E-2</v>
      </c>
      <c r="AD10" s="2">
        <f t="shared" si="4"/>
        <v>4.4333392467193852E-5</v>
      </c>
      <c r="AE10" s="45">
        <f t="shared" si="4"/>
        <v>9.6951643217994083E-4</v>
      </c>
      <c r="AF10" s="3">
        <f t="shared" si="2"/>
        <v>5.9715987076875933E-3</v>
      </c>
      <c r="AG10" s="17">
        <f t="shared" si="5"/>
        <v>5.9715987076875933E-3</v>
      </c>
      <c r="AH10" s="5">
        <f t="shared" si="6"/>
        <v>0.59715987076875932</v>
      </c>
    </row>
    <row r="11" spans="2:34" x14ac:dyDescent="0.3">
      <c r="B11" s="9" t="s">
        <v>15</v>
      </c>
      <c r="C11" s="54">
        <v>1.113</v>
      </c>
      <c r="D11" s="55">
        <v>1.1085</v>
      </c>
      <c r="E11" s="54">
        <v>1.113</v>
      </c>
      <c r="F11" s="55">
        <v>1.1071</v>
      </c>
      <c r="G11" s="58">
        <v>1.0986400000000001</v>
      </c>
      <c r="H11" s="59">
        <v>1.1035799999999998</v>
      </c>
      <c r="I11" s="58">
        <v>1.0967600000000002</v>
      </c>
      <c r="J11" s="59">
        <v>1.1017599999999999</v>
      </c>
      <c r="K11" s="54">
        <v>1.113</v>
      </c>
      <c r="L11" s="60">
        <v>1.2070098496000001</v>
      </c>
      <c r="M11" s="61">
        <v>1.2178888163999995</v>
      </c>
      <c r="N11" s="60">
        <v>1.2028824976000003</v>
      </c>
      <c r="O11" s="61">
        <v>1.2138750975999997</v>
      </c>
      <c r="P11" s="60">
        <v>1.238769</v>
      </c>
      <c r="Q11" s="36">
        <v>1.2124371311999997</v>
      </c>
      <c r="R11" s="23">
        <v>1.2049444064000003</v>
      </c>
      <c r="S11" s="36">
        <v>1.2104376064</v>
      </c>
      <c r="T11" s="23">
        <v>1.2103624008</v>
      </c>
      <c r="U11" s="36">
        <v>1.2158803007999996</v>
      </c>
      <c r="V11" s="23">
        <v>1.2083662976</v>
      </c>
      <c r="W11" s="36">
        <v>1.22278632</v>
      </c>
      <c r="X11" s="23">
        <v>1.2282845399999998</v>
      </c>
      <c r="Y11" s="36">
        <v>1.2206938800000002</v>
      </c>
      <c r="Z11" s="23">
        <v>1.2262588799999998</v>
      </c>
      <c r="AA11" s="9">
        <f t="shared" si="3"/>
        <v>1.1063762917620148</v>
      </c>
      <c r="AB11" s="1">
        <f t="shared" si="0"/>
        <v>6.623708237985193E-3</v>
      </c>
      <c r="AC11" s="9">
        <f t="shared" si="1"/>
        <v>2.9137058823529571E-2</v>
      </c>
      <c r="AD11" s="2">
        <f t="shared" si="4"/>
        <v>4.3873510821952912E-5</v>
      </c>
      <c r="AE11" s="45">
        <f t="shared" si="4"/>
        <v>8.489681968858225E-4</v>
      </c>
      <c r="AF11" s="3">
        <f t="shared" si="2"/>
        <v>5.9512203396093382E-3</v>
      </c>
      <c r="AG11" s="17">
        <f t="shared" si="5"/>
        <v>5.9512203396093382E-3</v>
      </c>
      <c r="AH11" s="5">
        <f t="shared" si="6"/>
        <v>0.59512203396093377</v>
      </c>
    </row>
    <row r="12" spans="2:34" x14ac:dyDescent="0.3">
      <c r="B12" s="9" t="s">
        <v>16</v>
      </c>
      <c r="C12" s="54">
        <v>1.1085</v>
      </c>
      <c r="D12" s="55">
        <v>1.1024</v>
      </c>
      <c r="E12" s="54">
        <v>1.1086</v>
      </c>
      <c r="F12" s="55">
        <v>1.1022000000000001</v>
      </c>
      <c r="G12" s="58">
        <v>1.09646</v>
      </c>
      <c r="H12" s="59">
        <v>1.10066</v>
      </c>
      <c r="I12" s="58">
        <v>1.0945400000000001</v>
      </c>
      <c r="J12" s="59">
        <v>1.0986799999999999</v>
      </c>
      <c r="K12" s="54">
        <v>1.1085</v>
      </c>
      <c r="L12" s="60">
        <v>1.2022245316</v>
      </c>
      <c r="M12" s="61">
        <v>1.2114524356</v>
      </c>
      <c r="N12" s="60">
        <v>1.1980178116000002</v>
      </c>
      <c r="O12" s="61">
        <v>1.2070977423999998</v>
      </c>
      <c r="P12" s="60">
        <v>1.22877225</v>
      </c>
      <c r="Q12" s="36">
        <v>1.2068296636</v>
      </c>
      <c r="R12" s="23">
        <v>1.2001193284</v>
      </c>
      <c r="S12" s="36">
        <v>1.2046586727999999</v>
      </c>
      <c r="T12" s="23">
        <v>1.2047163964000001</v>
      </c>
      <c r="U12" s="36">
        <v>1.2092731287999998</v>
      </c>
      <c r="V12" s="23">
        <v>1.2025492071999999</v>
      </c>
      <c r="W12" s="36">
        <v>1.21542591</v>
      </c>
      <c r="X12" s="23">
        <v>1.22008161</v>
      </c>
      <c r="Y12" s="36">
        <v>1.21329759</v>
      </c>
      <c r="Z12" s="23">
        <v>1.2178867799999999</v>
      </c>
      <c r="AA12" s="9">
        <f t="shared" si="3"/>
        <v>1.1019576568262122</v>
      </c>
      <c r="AB12" s="1">
        <f t="shared" si="0"/>
        <v>6.542343173787879E-3</v>
      </c>
      <c r="AC12" s="9">
        <f t="shared" si="1"/>
        <v>2.4637058823529623E-2</v>
      </c>
      <c r="AD12" s="2">
        <f t="shared" si="4"/>
        <v>4.2802254203608854E-5</v>
      </c>
      <c r="AE12" s="45">
        <f t="shared" si="4"/>
        <v>6.0698466747405885E-4</v>
      </c>
      <c r="AF12" s="3">
        <f t="shared" si="2"/>
        <v>5.9019785058979507E-3</v>
      </c>
      <c r="AG12" s="17">
        <f t="shared" si="5"/>
        <v>5.9019785058979507E-3</v>
      </c>
      <c r="AH12" s="5">
        <f t="shared" si="6"/>
        <v>0.59019785058979513</v>
      </c>
    </row>
    <row r="13" spans="2:34" x14ac:dyDescent="0.3">
      <c r="B13" s="9" t="s">
        <v>17</v>
      </c>
      <c r="C13" s="54">
        <v>1.1028</v>
      </c>
      <c r="D13" s="55">
        <v>1.0972</v>
      </c>
      <c r="E13" s="54">
        <v>1.103</v>
      </c>
      <c r="F13" s="55">
        <v>1.097</v>
      </c>
      <c r="G13" s="58">
        <v>1.0953999999999999</v>
      </c>
      <c r="H13" s="59">
        <v>1.0987000000000002</v>
      </c>
      <c r="I13" s="58">
        <v>1.0933199999999998</v>
      </c>
      <c r="J13" s="59">
        <v>1.0964399999999999</v>
      </c>
      <c r="K13" s="54">
        <v>1.1028</v>
      </c>
      <c r="L13" s="60">
        <v>1.1999011599999998</v>
      </c>
      <c r="M13" s="61">
        <v>1.2071416900000005</v>
      </c>
      <c r="N13" s="60">
        <v>1.1953486223999996</v>
      </c>
      <c r="O13" s="61">
        <v>1.2021806735999996</v>
      </c>
      <c r="P13" s="60">
        <v>1.21616784</v>
      </c>
      <c r="Q13" s="36">
        <v>1.2035159800000002</v>
      </c>
      <c r="R13" s="23">
        <v>1.1976227279999998</v>
      </c>
      <c r="S13" s="36">
        <v>1.2010403759999997</v>
      </c>
      <c r="T13" s="23">
        <v>1.201230684</v>
      </c>
      <c r="U13" s="36">
        <v>1.204658628</v>
      </c>
      <c r="V13" s="23">
        <v>1.1987597807999997</v>
      </c>
      <c r="W13" s="36">
        <v>1.20800712</v>
      </c>
      <c r="X13" s="23">
        <v>1.2116463600000003</v>
      </c>
      <c r="Y13" s="36">
        <v>1.2057132959999999</v>
      </c>
      <c r="Z13" s="23">
        <v>1.2091540319999998</v>
      </c>
      <c r="AA13" s="9">
        <f t="shared" si="3"/>
        <v>1.0977409021259321</v>
      </c>
      <c r="AB13" s="1">
        <f t="shared" si="0"/>
        <v>5.059097874067886E-3</v>
      </c>
      <c r="AC13" s="9">
        <f t="shared" si="1"/>
        <v>1.8937058823529584E-2</v>
      </c>
      <c r="AD13" s="2">
        <f t="shared" si="4"/>
        <v>2.5594471299398203E-5</v>
      </c>
      <c r="AE13" s="45">
        <f t="shared" si="4"/>
        <v>3.5861219688581967E-4</v>
      </c>
      <c r="AF13" s="3">
        <f t="shared" si="2"/>
        <v>4.5875026061551376E-3</v>
      </c>
      <c r="AG13" s="17">
        <f t="shared" si="5"/>
        <v>4.5875026061551376E-3</v>
      </c>
      <c r="AH13" s="5">
        <f t="shared" si="6"/>
        <v>0.45875026061551377</v>
      </c>
    </row>
    <row r="14" spans="2:34" x14ac:dyDescent="0.3">
      <c r="B14" s="9" t="s">
        <v>18</v>
      </c>
      <c r="C14" s="54">
        <v>1.0971</v>
      </c>
      <c r="D14" s="55">
        <v>1.1012</v>
      </c>
      <c r="E14" s="54">
        <v>1.1015999999999999</v>
      </c>
      <c r="F14" s="55">
        <v>1.0949</v>
      </c>
      <c r="G14" s="58">
        <v>1.0935999999999999</v>
      </c>
      <c r="H14" s="59">
        <v>1.0972999999999999</v>
      </c>
      <c r="I14" s="58">
        <v>1.0919800000000002</v>
      </c>
      <c r="J14" s="59">
        <v>1.09538</v>
      </c>
      <c r="K14" s="54">
        <v>1.0971</v>
      </c>
      <c r="L14" s="60">
        <v>1.1959609599999999</v>
      </c>
      <c r="M14" s="61">
        <v>1.2040672899999998</v>
      </c>
      <c r="N14" s="60">
        <v>1.1924203204000003</v>
      </c>
      <c r="O14" s="61">
        <v>1.1998573444</v>
      </c>
      <c r="P14" s="60">
        <v>1.2036284099999999</v>
      </c>
      <c r="Q14" s="36">
        <v>1.2000072799999999</v>
      </c>
      <c r="R14" s="23">
        <v>1.194189328</v>
      </c>
      <c r="S14" s="36">
        <v>1.197907568</v>
      </c>
      <c r="T14" s="23">
        <v>1.1982296540000001</v>
      </c>
      <c r="U14" s="36">
        <v>1.2019604740000001</v>
      </c>
      <c r="V14" s="23">
        <v>1.1961330524000002</v>
      </c>
      <c r="W14" s="36">
        <v>1.1997885599999998</v>
      </c>
      <c r="X14" s="23">
        <v>1.20384783</v>
      </c>
      <c r="Y14" s="36">
        <v>1.1980112580000002</v>
      </c>
      <c r="Z14" s="23">
        <v>1.201741398</v>
      </c>
      <c r="AA14" s="9">
        <f t="shared" si="3"/>
        <v>1.098334300604991</v>
      </c>
      <c r="AB14" s="1">
        <f t="shared" si="0"/>
        <v>-1.2343006049910787E-3</v>
      </c>
      <c r="AC14" s="9">
        <f t="shared" si="1"/>
        <v>1.3237058823529546E-2</v>
      </c>
      <c r="AD14" s="2">
        <f t="shared" si="4"/>
        <v>1.5234979834813431E-6</v>
      </c>
      <c r="AE14" s="45">
        <f t="shared" si="4"/>
        <v>1.7521972629758141E-4</v>
      </c>
      <c r="AF14" s="3">
        <f t="shared" si="2"/>
        <v>-1.1250575198168615E-3</v>
      </c>
      <c r="AG14" s="17">
        <f t="shared" si="5"/>
        <v>1.1250575198168615E-3</v>
      </c>
      <c r="AH14" s="5">
        <f t="shared" si="6"/>
        <v>0.11250575198168615</v>
      </c>
    </row>
    <row r="15" spans="2:34" x14ac:dyDescent="0.3">
      <c r="B15" s="9" t="s">
        <v>19</v>
      </c>
      <c r="C15" s="54">
        <v>1.1012</v>
      </c>
      <c r="D15" s="55">
        <v>1.0992</v>
      </c>
      <c r="E15" s="54">
        <v>1.1048</v>
      </c>
      <c r="F15" s="55">
        <v>1.0984</v>
      </c>
      <c r="G15" s="58">
        <v>1.0923200000000002</v>
      </c>
      <c r="H15" s="59">
        <v>1.0950600000000001</v>
      </c>
      <c r="I15" s="58">
        <v>1.0904</v>
      </c>
      <c r="J15" s="59">
        <v>1.0935600000000001</v>
      </c>
      <c r="K15" s="54">
        <v>1.1012</v>
      </c>
      <c r="L15" s="60">
        <v>1.1931629824000003</v>
      </c>
      <c r="M15" s="61">
        <v>1.1991564036000004</v>
      </c>
      <c r="N15" s="60">
        <v>1.1889721600000001</v>
      </c>
      <c r="O15" s="61">
        <v>1.1958734736000003</v>
      </c>
      <c r="P15" s="60">
        <v>1.2126414399999998</v>
      </c>
      <c r="Q15" s="36">
        <v>1.1961559392000003</v>
      </c>
      <c r="R15" s="23">
        <v>1.1910657280000003</v>
      </c>
      <c r="S15" s="36">
        <v>1.1945174592000003</v>
      </c>
      <c r="T15" s="23">
        <v>1.1940534240000003</v>
      </c>
      <c r="U15" s="36">
        <v>1.1975138136000003</v>
      </c>
      <c r="V15" s="23">
        <v>1.1924178240000001</v>
      </c>
      <c r="W15" s="36">
        <v>1.2028627840000001</v>
      </c>
      <c r="X15" s="23">
        <v>1.205880072</v>
      </c>
      <c r="Y15" s="36">
        <v>1.2007484799999999</v>
      </c>
      <c r="Z15" s="23">
        <v>1.2042282720000002</v>
      </c>
      <c r="AA15" s="9">
        <f t="shared" si="3"/>
        <v>1.0954152338193435</v>
      </c>
      <c r="AB15" s="1">
        <f t="shared" si="0"/>
        <v>5.7847661806564865E-3</v>
      </c>
      <c r="AC15" s="9">
        <f t="shared" si="1"/>
        <v>1.7337058823529539E-2</v>
      </c>
      <c r="AD15" s="2">
        <f t="shared" si="4"/>
        <v>3.3463519764867032E-5</v>
      </c>
      <c r="AE15" s="45">
        <f t="shared" si="4"/>
        <v>3.0057360865052342E-4</v>
      </c>
      <c r="AF15" s="3">
        <f t="shared" si="2"/>
        <v>5.2531476395354946E-3</v>
      </c>
      <c r="AG15" s="17">
        <f t="shared" si="5"/>
        <v>5.2531476395354946E-3</v>
      </c>
      <c r="AH15" s="5">
        <f t="shared" si="6"/>
        <v>0.52531476395354948</v>
      </c>
    </row>
    <row r="16" spans="2:34" x14ac:dyDescent="0.3">
      <c r="B16" s="9" t="s">
        <v>20</v>
      </c>
      <c r="C16" s="54">
        <v>1.0992</v>
      </c>
      <c r="D16" s="55">
        <v>1.0931999999999999</v>
      </c>
      <c r="E16" s="54">
        <v>1.0999000000000001</v>
      </c>
      <c r="F16" s="55">
        <v>1.0912999999999999</v>
      </c>
      <c r="G16" s="58">
        <v>1.0927399999999998</v>
      </c>
      <c r="H16" s="59">
        <v>1.0943599999999998</v>
      </c>
      <c r="I16" s="58">
        <v>1.0901999999999998</v>
      </c>
      <c r="J16" s="59">
        <v>1.09232</v>
      </c>
      <c r="K16" s="54">
        <v>1.0992</v>
      </c>
      <c r="L16" s="60">
        <v>1.1940807075999995</v>
      </c>
      <c r="M16" s="61">
        <v>1.1976238095999996</v>
      </c>
      <c r="N16" s="60">
        <v>1.1885360399999996</v>
      </c>
      <c r="O16" s="61">
        <v>1.1931629823999998</v>
      </c>
      <c r="P16" s="60">
        <v>1.2082406399999999</v>
      </c>
      <c r="Q16" s="36">
        <v>1.1958509463999996</v>
      </c>
      <c r="R16" s="23">
        <v>1.1913051479999996</v>
      </c>
      <c r="S16" s="36">
        <v>1.1936217567999998</v>
      </c>
      <c r="T16" s="23">
        <v>1.1930712719999996</v>
      </c>
      <c r="U16" s="36">
        <v>1.1953913151999997</v>
      </c>
      <c r="V16" s="23">
        <v>1.1908472639999998</v>
      </c>
      <c r="W16" s="36">
        <v>1.2011398079999998</v>
      </c>
      <c r="X16" s="23">
        <v>1.2029205119999997</v>
      </c>
      <c r="Y16" s="36">
        <v>1.1983478399999998</v>
      </c>
      <c r="Z16" s="23">
        <v>1.2006781439999998</v>
      </c>
      <c r="AA16" s="9">
        <f t="shared" si="3"/>
        <v>1.0910088315295874</v>
      </c>
      <c r="AB16" s="1">
        <f t="shared" si="0"/>
        <v>8.1911684704125687E-3</v>
      </c>
      <c r="AC16" s="9">
        <f t="shared" si="1"/>
        <v>1.5337058823529537E-2</v>
      </c>
      <c r="AD16" s="2">
        <f t="shared" si="4"/>
        <v>6.7095240910680979E-5</v>
      </c>
      <c r="AE16" s="45">
        <f t="shared" si="4"/>
        <v>2.3522537335640521E-4</v>
      </c>
      <c r="AF16" s="3">
        <f t="shared" si="2"/>
        <v>7.4519363813797023E-3</v>
      </c>
      <c r="AG16" s="17">
        <f t="shared" si="5"/>
        <v>7.4519363813797023E-3</v>
      </c>
      <c r="AH16" s="5">
        <f t="shared" si="6"/>
        <v>0.74519363813797024</v>
      </c>
    </row>
    <row r="17" spans="2:34" x14ac:dyDescent="0.3">
      <c r="B17" s="40">
        <v>45634</v>
      </c>
      <c r="C17" s="54">
        <v>1.0931</v>
      </c>
      <c r="D17" s="55">
        <v>1.0914999999999999</v>
      </c>
      <c r="E17" s="54">
        <v>1.0940000000000001</v>
      </c>
      <c r="F17" s="55">
        <v>1.0911</v>
      </c>
      <c r="G17" s="58">
        <v>1.0928799999999999</v>
      </c>
      <c r="H17" s="59">
        <v>1.09572</v>
      </c>
      <c r="I17" s="58">
        <v>1.08982</v>
      </c>
      <c r="J17" s="59">
        <v>1.09274</v>
      </c>
      <c r="K17" s="54">
        <v>1.0931</v>
      </c>
      <c r="L17" s="60">
        <v>1.1943866943999997</v>
      </c>
      <c r="M17" s="61">
        <v>1.2006023184000001</v>
      </c>
      <c r="N17" s="60">
        <v>1.1877076324</v>
      </c>
      <c r="O17" s="61">
        <v>1.1940807076000002</v>
      </c>
      <c r="P17" s="60">
        <v>1.19486761</v>
      </c>
      <c r="Q17" s="36">
        <v>1.1974904735999998</v>
      </c>
      <c r="R17" s="23">
        <v>1.1910424815999998</v>
      </c>
      <c r="S17" s="36">
        <v>1.1942336911999998</v>
      </c>
      <c r="T17" s="23">
        <v>1.1941375704000001</v>
      </c>
      <c r="U17" s="36">
        <v>1.1973370728000001</v>
      </c>
      <c r="V17" s="23">
        <v>1.1908899068000001</v>
      </c>
      <c r="W17" s="36">
        <v>1.1946271279999998</v>
      </c>
      <c r="X17" s="23">
        <v>1.1977315319999999</v>
      </c>
      <c r="Y17" s="36">
        <v>1.191282242</v>
      </c>
      <c r="Z17" s="23">
        <v>1.194474094</v>
      </c>
      <c r="AA17" s="9">
        <f t="shared" si="3"/>
        <v>1.0918252722398307</v>
      </c>
      <c r="AB17" s="1">
        <f t="shared" si="0"/>
        <v>1.2747277601692364E-3</v>
      </c>
      <c r="AC17" s="9">
        <f t="shared" si="1"/>
        <v>9.2370588235295426E-3</v>
      </c>
      <c r="AD17" s="2">
        <f t="shared" si="4"/>
        <v>1.6249308625460782E-6</v>
      </c>
      <c r="AE17" s="45">
        <f t="shared" si="4"/>
        <v>8.5323255709344971E-5</v>
      </c>
      <c r="AF17" s="3">
        <f t="shared" si="2"/>
        <v>1.1661584120110113E-3</v>
      </c>
      <c r="AG17" s="17">
        <f t="shared" si="5"/>
        <v>1.1661584120110113E-3</v>
      </c>
      <c r="AH17" s="5">
        <f t="shared" si="6"/>
        <v>0.11661584120110113</v>
      </c>
    </row>
    <row r="18" spans="2:34" x14ac:dyDescent="0.3">
      <c r="B18" s="40">
        <v>45543</v>
      </c>
      <c r="C18" s="54">
        <v>1.0915999999999999</v>
      </c>
      <c r="D18" s="55">
        <v>1.0919000000000001</v>
      </c>
      <c r="E18" s="54">
        <v>1.0931999999999999</v>
      </c>
      <c r="F18" s="55">
        <v>1.0909</v>
      </c>
      <c r="G18" s="58">
        <v>1.0902800000000001</v>
      </c>
      <c r="H18" s="59">
        <v>1.09562</v>
      </c>
      <c r="I18" s="58">
        <v>1.08728</v>
      </c>
      <c r="J18" s="59">
        <v>1.0925800000000001</v>
      </c>
      <c r="K18" s="54">
        <v>1.0915999999999999</v>
      </c>
      <c r="L18" s="60">
        <v>1.1887104784000002</v>
      </c>
      <c r="M18" s="61">
        <v>1.2003831844000001</v>
      </c>
      <c r="N18" s="60">
        <v>1.1821777984000001</v>
      </c>
      <c r="O18" s="61">
        <v>1.1937310564000003</v>
      </c>
      <c r="P18" s="60">
        <v>1.1915905599999999</v>
      </c>
      <c r="Q18" s="36">
        <v>1.1945325736000001</v>
      </c>
      <c r="R18" s="23">
        <v>1.1854396384000001</v>
      </c>
      <c r="S18" s="36">
        <v>1.1912181224000002</v>
      </c>
      <c r="T18" s="23">
        <v>1.1912457136000001</v>
      </c>
      <c r="U18" s="36">
        <v>1.1970524996000003</v>
      </c>
      <c r="V18" s="23">
        <v>1.1879403824000001</v>
      </c>
      <c r="W18" s="36">
        <v>1.190149648</v>
      </c>
      <c r="X18" s="23">
        <v>1.195978792</v>
      </c>
      <c r="Y18" s="36">
        <v>1.186874848</v>
      </c>
      <c r="Z18" s="23">
        <v>1.1926603280000001</v>
      </c>
      <c r="AA18" s="9">
        <f t="shared" si="3"/>
        <v>1.0962155016556565</v>
      </c>
      <c r="AB18" s="1">
        <f t="shared" si="0"/>
        <v>-4.6155016556566064E-3</v>
      </c>
      <c r="AC18" s="9">
        <f t="shared" si="1"/>
        <v>7.7370588235294857E-3</v>
      </c>
      <c r="AD18" s="2">
        <f t="shared" si="4"/>
        <v>2.1302855533368874E-5</v>
      </c>
      <c r="AE18" s="45">
        <f t="shared" si="4"/>
        <v>5.9862079238755467E-5</v>
      </c>
      <c r="AF18" s="3">
        <f t="shared" si="2"/>
        <v>-4.2281986585348177E-3</v>
      </c>
      <c r="AG18" s="17">
        <f t="shared" si="5"/>
        <v>4.2281986585348177E-3</v>
      </c>
      <c r="AH18" s="5">
        <f t="shared" si="6"/>
        <v>0.42281986585348175</v>
      </c>
    </row>
    <row r="19" spans="2:34" x14ac:dyDescent="0.3">
      <c r="B19" s="40">
        <v>45512</v>
      </c>
      <c r="C19" s="54">
        <v>1.0918000000000001</v>
      </c>
      <c r="D19" s="55">
        <v>1.0922000000000001</v>
      </c>
      <c r="E19" s="54">
        <v>1.0946</v>
      </c>
      <c r="F19" s="55">
        <v>1.0882000000000001</v>
      </c>
      <c r="G19" s="58">
        <v>1.08836</v>
      </c>
      <c r="H19" s="59">
        <v>1.0934199999999998</v>
      </c>
      <c r="I19" s="58">
        <v>1.0851600000000001</v>
      </c>
      <c r="J19" s="59">
        <v>1.0900400000000001</v>
      </c>
      <c r="K19" s="54">
        <v>1.0918000000000001</v>
      </c>
      <c r="L19" s="60">
        <v>1.1845274896</v>
      </c>
      <c r="M19" s="61">
        <v>1.1955672963999997</v>
      </c>
      <c r="N19" s="60">
        <v>1.1775722256000003</v>
      </c>
      <c r="O19" s="61">
        <v>1.1881872016000004</v>
      </c>
      <c r="P19" s="60">
        <v>1.1920272400000003</v>
      </c>
      <c r="Q19" s="36">
        <v>1.1900345911999999</v>
      </c>
      <c r="R19" s="23">
        <v>1.1810447376000002</v>
      </c>
      <c r="S19" s="36">
        <v>1.1863559344000001</v>
      </c>
      <c r="T19" s="23">
        <v>1.1865356471999999</v>
      </c>
      <c r="U19" s="36">
        <v>1.1918715367999999</v>
      </c>
      <c r="V19" s="23">
        <v>1.1828678064000002</v>
      </c>
      <c r="W19" s="36">
        <v>1.1882714480000001</v>
      </c>
      <c r="X19" s="23">
        <v>1.193795956</v>
      </c>
      <c r="Y19" s="36">
        <v>1.1847776880000003</v>
      </c>
      <c r="Z19" s="23">
        <v>1.1901056720000003</v>
      </c>
      <c r="AA19" s="9">
        <f t="shared" si="3"/>
        <v>1.0927480026484973</v>
      </c>
      <c r="AB19" s="1">
        <f t="shared" si="0"/>
        <v>-9.4800264849714821E-4</v>
      </c>
      <c r="AC19" s="9">
        <f t="shared" si="1"/>
        <v>7.9370588235296857E-3</v>
      </c>
      <c r="AD19" s="2">
        <f t="shared" si="4"/>
        <v>8.9870902155760759E-7</v>
      </c>
      <c r="AE19" s="45">
        <f t="shared" si="4"/>
        <v>6.2996902768170445E-5</v>
      </c>
      <c r="AF19" s="3">
        <f t="shared" si="2"/>
        <v>-8.6829332157643173E-4</v>
      </c>
      <c r="AG19" s="17">
        <f t="shared" si="5"/>
        <v>8.6829332157643173E-4</v>
      </c>
      <c r="AH19" s="5">
        <f t="shared" si="6"/>
        <v>8.6829332157643171E-2</v>
      </c>
    </row>
    <row r="20" spans="2:34" x14ac:dyDescent="0.3">
      <c r="B20" s="40">
        <v>45481</v>
      </c>
      <c r="C20" s="54">
        <v>1.0921000000000001</v>
      </c>
      <c r="D20" s="55">
        <v>1.0928</v>
      </c>
      <c r="E20" s="54">
        <v>1.0935999999999999</v>
      </c>
      <c r="F20" s="55">
        <v>1.0905</v>
      </c>
      <c r="G20" s="58">
        <v>1.08612</v>
      </c>
      <c r="H20" s="59">
        <v>1.0916999999999999</v>
      </c>
      <c r="I20" s="58">
        <v>1.0831</v>
      </c>
      <c r="J20" s="59">
        <v>1.08812</v>
      </c>
      <c r="K20" s="54">
        <v>1.0921000000000001</v>
      </c>
      <c r="L20" s="60">
        <v>1.1796566544</v>
      </c>
      <c r="M20" s="61">
        <v>1.1918088899999997</v>
      </c>
      <c r="N20" s="60">
        <v>1.1731056099999999</v>
      </c>
      <c r="O20" s="61">
        <v>1.1840051344</v>
      </c>
      <c r="P20" s="60">
        <v>1.1926824100000002</v>
      </c>
      <c r="Q20" s="36">
        <v>1.1857172039999999</v>
      </c>
      <c r="R20" s="23">
        <v>1.1763765719999999</v>
      </c>
      <c r="S20" s="36">
        <v>1.1818288943999999</v>
      </c>
      <c r="T20" s="23">
        <v>1.1824202699999999</v>
      </c>
      <c r="U20" s="36">
        <v>1.1879006039999997</v>
      </c>
      <c r="V20" s="23">
        <v>1.1785427719999999</v>
      </c>
      <c r="W20" s="36">
        <v>1.1861516519999999</v>
      </c>
      <c r="X20" s="23">
        <v>1.1922455699999999</v>
      </c>
      <c r="Y20" s="36">
        <v>1.1828535099999999</v>
      </c>
      <c r="Z20" s="23">
        <v>1.188335852</v>
      </c>
      <c r="AA20" s="9">
        <f t="shared" si="3"/>
        <v>1.0917599851853175</v>
      </c>
      <c r="AB20" s="1">
        <f t="shared" si="0"/>
        <v>3.4001481468259875E-4</v>
      </c>
      <c r="AC20" s="9">
        <f t="shared" si="1"/>
        <v>8.2370588235296527E-3</v>
      </c>
      <c r="AD20" s="2">
        <f t="shared" si="4"/>
        <v>1.1561007420364197E-7</v>
      </c>
      <c r="AE20" s="45">
        <f t="shared" si="4"/>
        <v>6.7849138062287711E-5</v>
      </c>
      <c r="AF20" s="3">
        <f t="shared" si="2"/>
        <v>3.1134036689185854E-4</v>
      </c>
      <c r="AG20" s="17">
        <f t="shared" si="5"/>
        <v>3.1134036689185854E-4</v>
      </c>
      <c r="AH20" s="5">
        <f t="shared" si="6"/>
        <v>3.1134036689185855E-2</v>
      </c>
    </row>
    <row r="21" spans="2:34" x14ac:dyDescent="0.3">
      <c r="B21" s="40">
        <v>45451</v>
      </c>
      <c r="C21" s="54">
        <v>1.093</v>
      </c>
      <c r="D21" s="55">
        <v>1.0952999999999999</v>
      </c>
      <c r="E21" s="54">
        <v>1.0964</v>
      </c>
      <c r="F21" s="55">
        <v>1.0903</v>
      </c>
      <c r="G21" s="58">
        <v>1.0834800000000002</v>
      </c>
      <c r="H21" s="59">
        <v>1.0891600000000001</v>
      </c>
      <c r="I21" s="58">
        <v>1.0809799999999998</v>
      </c>
      <c r="J21" s="59">
        <v>1.08582</v>
      </c>
      <c r="K21" s="54">
        <v>1.093</v>
      </c>
      <c r="L21" s="60">
        <v>1.1739289104000006</v>
      </c>
      <c r="M21" s="61">
        <v>1.1862695056000003</v>
      </c>
      <c r="N21" s="60">
        <v>1.1685177603999997</v>
      </c>
      <c r="O21" s="61">
        <v>1.1790050724000001</v>
      </c>
      <c r="P21" s="60">
        <v>1.1946489999999998</v>
      </c>
      <c r="Q21" s="36">
        <v>1.1800830768000004</v>
      </c>
      <c r="R21" s="23">
        <v>1.1712202104</v>
      </c>
      <c r="S21" s="36">
        <v>1.1764642536000003</v>
      </c>
      <c r="T21" s="23">
        <v>1.1773601767999999</v>
      </c>
      <c r="U21" s="36">
        <v>1.1826317112000002</v>
      </c>
      <c r="V21" s="23">
        <v>1.1737497035999997</v>
      </c>
      <c r="W21" s="36">
        <v>1.1842436400000003</v>
      </c>
      <c r="X21" s="23">
        <v>1.1904518800000001</v>
      </c>
      <c r="Y21" s="36">
        <v>1.1815111399999998</v>
      </c>
      <c r="Z21" s="23">
        <v>1.18680126</v>
      </c>
      <c r="AA21" s="9">
        <f t="shared" si="3"/>
        <v>1.0905595706888156</v>
      </c>
      <c r="AB21" s="1">
        <f t="shared" si="0"/>
        <v>2.4404293111843778E-3</v>
      </c>
      <c r="AC21" s="9">
        <f t="shared" si="1"/>
        <v>9.1370588235295536E-3</v>
      </c>
      <c r="AD21" s="2">
        <f t="shared" si="4"/>
        <v>5.9556952228878568E-6</v>
      </c>
      <c r="AE21" s="45">
        <f t="shared" si="4"/>
        <v>8.3485843944639275E-5</v>
      </c>
      <c r="AF21" s="3">
        <f t="shared" si="2"/>
        <v>2.2327807055666769E-3</v>
      </c>
      <c r="AG21" s="17">
        <f t="shared" si="5"/>
        <v>2.2327807055666769E-3</v>
      </c>
      <c r="AH21" s="5">
        <f t="shared" si="6"/>
        <v>0.22327807055666768</v>
      </c>
    </row>
    <row r="22" spans="2:34" x14ac:dyDescent="0.3">
      <c r="B22" s="40">
        <v>45420</v>
      </c>
      <c r="C22" s="54">
        <v>1.0952</v>
      </c>
      <c r="D22" s="55">
        <v>1.0922000000000001</v>
      </c>
      <c r="E22" s="54">
        <v>1.1008</v>
      </c>
      <c r="F22" s="55">
        <v>1.0891999999999999</v>
      </c>
      <c r="G22" s="58">
        <v>1.0823200000000002</v>
      </c>
      <c r="H22" s="59">
        <v>1.0863999999999998</v>
      </c>
      <c r="I22" s="58">
        <v>1.0792000000000002</v>
      </c>
      <c r="J22" s="59">
        <v>1.0831599999999999</v>
      </c>
      <c r="K22" s="54">
        <v>1.0952</v>
      </c>
      <c r="L22" s="60">
        <v>1.1714165824000005</v>
      </c>
      <c r="M22" s="61">
        <v>1.1802649599999997</v>
      </c>
      <c r="N22" s="60">
        <v>1.1646726400000003</v>
      </c>
      <c r="O22" s="61">
        <v>1.1732355855999999</v>
      </c>
      <c r="P22" s="60">
        <v>1.1994630399999999</v>
      </c>
      <c r="Q22" s="36">
        <v>1.175832448</v>
      </c>
      <c r="R22" s="23">
        <v>1.1680397440000003</v>
      </c>
      <c r="S22" s="36">
        <v>1.1723257312000002</v>
      </c>
      <c r="T22" s="23">
        <v>1.17244288</v>
      </c>
      <c r="U22" s="36">
        <v>1.1767450239999997</v>
      </c>
      <c r="V22" s="23">
        <v>1.1689462720000001</v>
      </c>
      <c r="W22" s="36">
        <v>1.1853568640000001</v>
      </c>
      <c r="X22" s="23">
        <v>1.1898252799999998</v>
      </c>
      <c r="Y22" s="36">
        <v>1.1819398400000001</v>
      </c>
      <c r="Z22" s="23">
        <v>1.1862768319999999</v>
      </c>
      <c r="AA22" s="9">
        <f t="shared" si="3"/>
        <v>1.0850062383980548</v>
      </c>
      <c r="AB22" s="1">
        <f t="shared" si="0"/>
        <v>1.0193761601945184E-2</v>
      </c>
      <c r="AC22" s="9">
        <f t="shared" si="1"/>
        <v>1.1337058823529533E-2</v>
      </c>
      <c r="AD22" s="2">
        <f t="shared" si="4"/>
        <v>1.0391277559729204E-4</v>
      </c>
      <c r="AE22" s="45">
        <f t="shared" si="4"/>
        <v>1.2852890276816885E-4</v>
      </c>
      <c r="AF22" s="3">
        <f t="shared" si="2"/>
        <v>9.3076712946906365E-3</v>
      </c>
      <c r="AG22" s="17">
        <f t="shared" si="5"/>
        <v>9.3076712946906365E-3</v>
      </c>
      <c r="AH22" s="5">
        <f t="shared" si="6"/>
        <v>0.93076712946906359</v>
      </c>
    </row>
    <row r="23" spans="2:34" x14ac:dyDescent="0.3">
      <c r="B23" s="40">
        <v>45330</v>
      </c>
      <c r="C23" s="54">
        <v>1.0908</v>
      </c>
      <c r="D23" s="55">
        <v>1.0789</v>
      </c>
      <c r="E23" s="54">
        <v>1.0927</v>
      </c>
      <c r="F23" s="55">
        <v>1.0782</v>
      </c>
      <c r="G23" s="58">
        <v>1.08348</v>
      </c>
      <c r="H23" s="59">
        <v>1.08524</v>
      </c>
      <c r="I23" s="58">
        <v>1.0803800000000001</v>
      </c>
      <c r="J23" s="59">
        <v>1.0821400000000001</v>
      </c>
      <c r="K23" s="54">
        <v>1.0908</v>
      </c>
      <c r="L23" s="60">
        <v>1.1739289103999999</v>
      </c>
      <c r="M23" s="61">
        <v>1.1777458575999999</v>
      </c>
      <c r="N23" s="60">
        <v>1.1672209444000003</v>
      </c>
      <c r="O23" s="61">
        <v>1.1710269796000001</v>
      </c>
      <c r="P23" s="60">
        <v>1.18984464</v>
      </c>
      <c r="Q23" s="36">
        <v>1.1758358352</v>
      </c>
      <c r="R23" s="23">
        <v>1.1705701224</v>
      </c>
      <c r="S23" s="36">
        <v>1.1724770472000001</v>
      </c>
      <c r="T23" s="23">
        <v>1.1724715912000001</v>
      </c>
      <c r="U23" s="36">
        <v>1.1743816136</v>
      </c>
      <c r="V23" s="23">
        <v>1.1691224132000002</v>
      </c>
      <c r="W23" s="36">
        <v>1.1818599839999999</v>
      </c>
      <c r="X23" s="23">
        <v>1.1837797919999999</v>
      </c>
      <c r="Y23" s="36">
        <v>1.1784785040000001</v>
      </c>
      <c r="Z23" s="23">
        <v>1.1803983120000001</v>
      </c>
      <c r="AA23" s="9">
        <f t="shared" si="3"/>
        <v>1.0800564577542249</v>
      </c>
      <c r="AB23" s="1">
        <f t="shared" si="0"/>
        <v>1.0743542245775117E-2</v>
      </c>
      <c r="AC23" s="9">
        <f t="shared" si="1"/>
        <v>6.9370588235295738E-3</v>
      </c>
      <c r="AD23" s="2">
        <f t="shared" si="4"/>
        <v>1.1542369998675465E-4</v>
      </c>
      <c r="AE23" s="45">
        <f t="shared" si="4"/>
        <v>4.8122785121109515E-5</v>
      </c>
      <c r="AF23" s="3">
        <f t="shared" si="2"/>
        <v>9.8492319818253727E-3</v>
      </c>
      <c r="AG23" s="17">
        <f t="shared" si="5"/>
        <v>9.8492319818253727E-3</v>
      </c>
      <c r="AH23" s="5">
        <f t="shared" si="6"/>
        <v>0.98492319818253726</v>
      </c>
    </row>
    <row r="24" spans="2:34" x14ac:dyDescent="0.3">
      <c r="B24" s="40">
        <v>45299</v>
      </c>
      <c r="C24" s="54">
        <v>1.0790999999999999</v>
      </c>
      <c r="D24" s="55">
        <v>1.0826</v>
      </c>
      <c r="E24" s="54">
        <v>1.0835999999999999</v>
      </c>
      <c r="F24" s="55">
        <v>1.0775999999999999</v>
      </c>
      <c r="G24" s="58">
        <v>1.0837599999999998</v>
      </c>
      <c r="H24" s="59">
        <v>1.08592</v>
      </c>
      <c r="I24" s="58">
        <v>1.0814000000000001</v>
      </c>
      <c r="J24" s="59">
        <v>1.0832000000000002</v>
      </c>
      <c r="K24" s="54">
        <v>1.0790999999999999</v>
      </c>
      <c r="L24" s="60">
        <v>1.1745357375999996</v>
      </c>
      <c r="M24" s="61">
        <v>1.1792222464</v>
      </c>
      <c r="N24" s="60">
        <v>1.1694259600000003</v>
      </c>
      <c r="O24" s="61">
        <v>1.1733222400000003</v>
      </c>
      <c r="P24" s="60">
        <v>1.1644568099999999</v>
      </c>
      <c r="Q24" s="36">
        <v>1.1768766591999997</v>
      </c>
      <c r="R24" s="23">
        <v>1.1719780639999999</v>
      </c>
      <c r="S24" s="36">
        <v>1.1739288320000001</v>
      </c>
      <c r="T24" s="23">
        <v>1.1743138880000001</v>
      </c>
      <c r="U24" s="36">
        <v>1.1762685440000002</v>
      </c>
      <c r="V24" s="23">
        <v>1.1713724800000003</v>
      </c>
      <c r="W24" s="36">
        <v>1.1694854159999997</v>
      </c>
      <c r="X24" s="23">
        <v>1.171816272</v>
      </c>
      <c r="Y24" s="36">
        <v>1.1669387400000002</v>
      </c>
      <c r="Z24" s="23">
        <v>1.1688811200000002</v>
      </c>
      <c r="AA24" s="9">
        <f t="shared" si="3"/>
        <v>1.0827946882899373</v>
      </c>
      <c r="AB24" s="1">
        <f t="shared" si="0"/>
        <v>-3.6946882899373534E-3</v>
      </c>
      <c r="AC24" s="9">
        <f t="shared" si="1"/>
        <v>-4.7629411764704699E-3</v>
      </c>
      <c r="AD24" s="2">
        <f t="shared" si="4"/>
        <v>1.3650721559800204E-5</v>
      </c>
      <c r="AE24" s="45">
        <f t="shared" si="4"/>
        <v>2.2685608650517902E-5</v>
      </c>
      <c r="AF24" s="3">
        <f t="shared" si="2"/>
        <v>-3.4238608932789859E-3</v>
      </c>
      <c r="AG24" s="17">
        <f t="shared" si="5"/>
        <v>3.4238608932789859E-3</v>
      </c>
      <c r="AH24" s="5">
        <f t="shared" si="6"/>
        <v>0.3423860893278986</v>
      </c>
    </row>
    <row r="25" spans="2:34" x14ac:dyDescent="0.3">
      <c r="B25" s="9" t="s">
        <v>21</v>
      </c>
      <c r="C25" s="54">
        <v>1.0825</v>
      </c>
      <c r="D25" s="55">
        <v>1.0815999999999999</v>
      </c>
      <c r="E25" s="54">
        <v>1.085</v>
      </c>
      <c r="F25" s="55">
        <v>1.0802</v>
      </c>
      <c r="G25" s="58">
        <v>1.0845199999999999</v>
      </c>
      <c r="H25" s="59">
        <v>1.0862799999999999</v>
      </c>
      <c r="I25" s="58">
        <v>1.0818800000000002</v>
      </c>
      <c r="J25" s="59">
        <v>1.0834800000000002</v>
      </c>
      <c r="K25" s="54">
        <v>1.0825</v>
      </c>
      <c r="L25" s="60">
        <v>1.1761836303999997</v>
      </c>
      <c r="M25" s="61">
        <v>1.1800042383999998</v>
      </c>
      <c r="N25" s="60">
        <v>1.1704643344000003</v>
      </c>
      <c r="O25" s="61">
        <v>1.1739289104000006</v>
      </c>
      <c r="P25" s="60">
        <v>1.1718062499999999</v>
      </c>
      <c r="Q25" s="36">
        <v>1.1780923855999998</v>
      </c>
      <c r="R25" s="23">
        <v>1.1733204976</v>
      </c>
      <c r="S25" s="36">
        <v>1.1750557296000002</v>
      </c>
      <c r="T25" s="23">
        <v>1.1752246064</v>
      </c>
      <c r="U25" s="36">
        <v>1.1769626544000003</v>
      </c>
      <c r="V25" s="23">
        <v>1.1721953424000005</v>
      </c>
      <c r="W25" s="36">
        <v>1.1739929</v>
      </c>
      <c r="X25" s="23">
        <v>1.1758980999999999</v>
      </c>
      <c r="Y25" s="36">
        <v>1.1711351000000003</v>
      </c>
      <c r="Z25" s="23">
        <v>1.1728671000000002</v>
      </c>
      <c r="AA25" s="9">
        <f t="shared" si="3"/>
        <v>1.0820179043008409</v>
      </c>
      <c r="AB25" s="1">
        <f t="shared" si="0"/>
        <v>4.8209569915913519E-4</v>
      </c>
      <c r="AC25" s="9">
        <f t="shared" si="1"/>
        <v>-1.3629411764704003E-3</v>
      </c>
      <c r="AD25" s="2">
        <f t="shared" si="4"/>
        <v>2.3241626314773539E-7</v>
      </c>
      <c r="AE25" s="45">
        <f t="shared" si="4"/>
        <v>1.8576086505185187E-6</v>
      </c>
      <c r="AF25" s="3">
        <f t="shared" si="2"/>
        <v>4.4535399460428191E-4</v>
      </c>
      <c r="AG25" s="17">
        <f t="shared" si="5"/>
        <v>4.4535399460428191E-4</v>
      </c>
      <c r="AH25" s="5">
        <f t="shared" si="6"/>
        <v>4.4535399460428192E-2</v>
      </c>
    </row>
    <row r="26" spans="2:34" x14ac:dyDescent="0.3">
      <c r="B26" s="9" t="s">
        <v>22</v>
      </c>
      <c r="C26" s="54">
        <v>1.0814999999999999</v>
      </c>
      <c r="D26" s="55">
        <v>1.0821000000000001</v>
      </c>
      <c r="E26" s="54">
        <v>1.0837000000000001</v>
      </c>
      <c r="F26" s="55">
        <v>1.0797000000000001</v>
      </c>
      <c r="G26" s="58">
        <v>1.0859400000000001</v>
      </c>
      <c r="H26" s="59">
        <v>1.0874999999999999</v>
      </c>
      <c r="I26" s="58">
        <v>1.0828</v>
      </c>
      <c r="J26" s="59">
        <v>1.0842000000000001</v>
      </c>
      <c r="K26" s="54">
        <v>1.0814999999999999</v>
      </c>
      <c r="L26" s="60">
        <v>1.1792656836000002</v>
      </c>
      <c r="M26" s="61">
        <v>1.1826562499999997</v>
      </c>
      <c r="N26" s="60">
        <v>1.17245584</v>
      </c>
      <c r="O26" s="61">
        <v>1.1754896400000001</v>
      </c>
      <c r="P26" s="60">
        <v>1.1696422499999999</v>
      </c>
      <c r="Q26" s="36">
        <v>1.18095975</v>
      </c>
      <c r="R26" s="23">
        <v>1.1758558320000001</v>
      </c>
      <c r="S26" s="36">
        <v>1.1773761480000002</v>
      </c>
      <c r="T26" s="23">
        <v>1.1775449999999998</v>
      </c>
      <c r="U26" s="36">
        <v>1.1790674999999999</v>
      </c>
      <c r="V26" s="23">
        <v>1.1739717600000001</v>
      </c>
      <c r="W26" s="36">
        <v>1.17444411</v>
      </c>
      <c r="X26" s="23">
        <v>1.1761312499999999</v>
      </c>
      <c r="Y26" s="36">
        <v>1.1710482</v>
      </c>
      <c r="Z26" s="23">
        <v>1.1725623000000001</v>
      </c>
      <c r="AA26" s="9">
        <f t="shared" si="3"/>
        <v>1.0812069077104549</v>
      </c>
      <c r="AB26" s="1">
        <f t="shared" si="0"/>
        <v>2.9309228954499389E-4</v>
      </c>
      <c r="AC26" s="9">
        <f t="shared" si="1"/>
        <v>-2.3629411764705122E-3</v>
      </c>
      <c r="AD26" s="2">
        <f t="shared" si="4"/>
        <v>8.5903090190726535E-8</v>
      </c>
      <c r="AE26" s="45">
        <f t="shared" si="4"/>
        <v>5.5834910034598479E-6</v>
      </c>
      <c r="AF26" s="3">
        <f t="shared" si="2"/>
        <v>2.7100535325473319E-4</v>
      </c>
      <c r="AG26" s="17">
        <f t="shared" si="5"/>
        <v>2.7100535325473319E-4</v>
      </c>
      <c r="AH26" s="5">
        <f t="shared" si="6"/>
        <v>2.710053532547332E-2</v>
      </c>
    </row>
    <row r="27" spans="2:34" x14ac:dyDescent="0.3">
      <c r="B27" s="9" t="s">
        <v>23</v>
      </c>
      <c r="C27" s="54">
        <v>1.0819000000000001</v>
      </c>
      <c r="D27" s="55">
        <v>1.0864</v>
      </c>
      <c r="E27" s="54">
        <v>1.087</v>
      </c>
      <c r="F27" s="55">
        <v>1.0803</v>
      </c>
      <c r="G27" s="58">
        <v>1.0862799999999999</v>
      </c>
      <c r="H27" s="59">
        <v>1.0881799999999999</v>
      </c>
      <c r="I27" s="58">
        <v>1.0841800000000001</v>
      </c>
      <c r="J27" s="59">
        <v>1.0855999999999999</v>
      </c>
      <c r="K27" s="54">
        <v>1.0819000000000001</v>
      </c>
      <c r="L27" s="60">
        <v>1.1800042383999998</v>
      </c>
      <c r="M27" s="61">
        <v>1.1841357123999998</v>
      </c>
      <c r="N27" s="60">
        <v>1.1754462724000003</v>
      </c>
      <c r="O27" s="61">
        <v>1.1785273599999997</v>
      </c>
      <c r="P27" s="60">
        <v>1.1705076100000003</v>
      </c>
      <c r="Q27" s="36">
        <v>1.1820681703999998</v>
      </c>
      <c r="R27" s="23">
        <v>1.1777230504</v>
      </c>
      <c r="S27" s="36">
        <v>1.1792655679999997</v>
      </c>
      <c r="T27" s="23">
        <v>1.1797829924000001</v>
      </c>
      <c r="U27" s="36">
        <v>1.1813282079999998</v>
      </c>
      <c r="V27" s="23">
        <v>1.176985808</v>
      </c>
      <c r="W27" s="36">
        <v>1.1752463319999999</v>
      </c>
      <c r="X27" s="23">
        <v>1.1773019419999999</v>
      </c>
      <c r="Y27" s="36">
        <v>1.1729743420000003</v>
      </c>
      <c r="Z27" s="23">
        <v>1.1745106400000001</v>
      </c>
      <c r="AA27" s="9">
        <f t="shared" si="3"/>
        <v>1.0848614751780254</v>
      </c>
      <c r="AB27" s="1">
        <f t="shared" si="0"/>
        <v>-2.9614751780253634E-3</v>
      </c>
      <c r="AC27" s="9">
        <f t="shared" si="1"/>
        <v>-1.9629411764703342E-3</v>
      </c>
      <c r="AD27" s="2">
        <f t="shared" si="4"/>
        <v>8.7703352300603577E-6</v>
      </c>
      <c r="AE27" s="45">
        <f t="shared" si="4"/>
        <v>3.8531380622827394E-6</v>
      </c>
      <c r="AF27" s="3">
        <f t="shared" si="2"/>
        <v>-2.7372910417093662E-3</v>
      </c>
      <c r="AG27" s="17">
        <f t="shared" si="5"/>
        <v>2.7372910417093662E-3</v>
      </c>
      <c r="AH27" s="5">
        <f t="shared" si="6"/>
        <v>0.2737291041709366</v>
      </c>
    </row>
    <row r="28" spans="2:34" x14ac:dyDescent="0.3">
      <c r="B28" s="9" t="s">
        <v>24</v>
      </c>
      <c r="C28" s="54">
        <v>1.0857000000000001</v>
      </c>
      <c r="D28" s="55">
        <v>1.0847</v>
      </c>
      <c r="E28" s="54">
        <v>1.0869</v>
      </c>
      <c r="F28" s="55">
        <v>1.0841000000000001</v>
      </c>
      <c r="G28" s="58">
        <v>1.0873599999999999</v>
      </c>
      <c r="H28" s="59">
        <v>1.0888599999999999</v>
      </c>
      <c r="I28" s="58">
        <v>1.0848800000000001</v>
      </c>
      <c r="J28" s="59">
        <v>1.0859999999999999</v>
      </c>
      <c r="K28" s="54">
        <v>1.0857000000000001</v>
      </c>
      <c r="L28" s="60">
        <v>1.1823517695999997</v>
      </c>
      <c r="M28" s="61">
        <v>1.1856160995999998</v>
      </c>
      <c r="N28" s="60">
        <v>1.1769646144000001</v>
      </c>
      <c r="O28" s="61">
        <v>1.1793959999999997</v>
      </c>
      <c r="P28" s="60">
        <v>1.1787444900000001</v>
      </c>
      <c r="Q28" s="36">
        <v>1.1839828095999998</v>
      </c>
      <c r="R28" s="23">
        <v>1.1796551168</v>
      </c>
      <c r="S28" s="36">
        <v>1.1808729599999996</v>
      </c>
      <c r="T28" s="23">
        <v>1.1812824368000001</v>
      </c>
      <c r="U28" s="36">
        <v>1.1825019599999997</v>
      </c>
      <c r="V28" s="23">
        <v>1.17817968</v>
      </c>
      <c r="W28" s="36">
        <v>1.1805467519999999</v>
      </c>
      <c r="X28" s="23">
        <v>1.1821753020000001</v>
      </c>
      <c r="Y28" s="36">
        <v>1.1778542160000003</v>
      </c>
      <c r="Z28" s="23">
        <v>1.1790702</v>
      </c>
      <c r="AA28" s="9">
        <f t="shared" si="3"/>
        <v>1.0838154091385994</v>
      </c>
      <c r="AB28" s="1">
        <f t="shared" si="0"/>
        <v>1.8845908614006923E-3</v>
      </c>
      <c r="AC28" s="9">
        <f t="shared" si="1"/>
        <v>1.8370588235296914E-3</v>
      </c>
      <c r="AD28" s="2">
        <f t="shared" si="4"/>
        <v>3.5516827148750037E-6</v>
      </c>
      <c r="AE28" s="45">
        <f t="shared" si="4"/>
        <v>3.374785121108294E-6</v>
      </c>
      <c r="AF28" s="3">
        <f t="shared" si="2"/>
        <v>1.7358302122139561E-3</v>
      </c>
      <c r="AG28" s="17">
        <f t="shared" si="5"/>
        <v>1.7358302122139561E-3</v>
      </c>
      <c r="AH28" s="5">
        <f t="shared" si="6"/>
        <v>0.1735830212213956</v>
      </c>
    </row>
    <row r="29" spans="2:34" x14ac:dyDescent="0.3">
      <c r="B29" s="9" t="s">
        <v>25</v>
      </c>
      <c r="C29" s="54">
        <v>1.0844</v>
      </c>
      <c r="D29" s="55">
        <v>1.0840000000000001</v>
      </c>
      <c r="E29" s="54">
        <v>1.087</v>
      </c>
      <c r="F29" s="55">
        <v>1.0827</v>
      </c>
      <c r="G29" s="58">
        <v>1.0893200000000001</v>
      </c>
      <c r="H29" s="59">
        <v>1.0902800000000001</v>
      </c>
      <c r="I29" s="58">
        <v>1.0862000000000001</v>
      </c>
      <c r="J29" s="59">
        <v>1.08704</v>
      </c>
      <c r="K29" s="54">
        <v>1.0844</v>
      </c>
      <c r="L29" s="60">
        <v>1.1866180624000002</v>
      </c>
      <c r="M29" s="61">
        <v>1.1887104784000002</v>
      </c>
      <c r="N29" s="60">
        <v>1.1798304400000001</v>
      </c>
      <c r="O29" s="61">
        <v>1.1816559616</v>
      </c>
      <c r="P29" s="60">
        <v>1.1759233600000001</v>
      </c>
      <c r="Q29" s="36">
        <v>1.1876638096000003</v>
      </c>
      <c r="R29" s="23">
        <v>1.183219384</v>
      </c>
      <c r="S29" s="36">
        <v>1.1841344128</v>
      </c>
      <c r="T29" s="23">
        <v>1.1842621360000003</v>
      </c>
      <c r="U29" s="36">
        <v>1.1851779712000001</v>
      </c>
      <c r="V29" s="23">
        <v>1.180742848</v>
      </c>
      <c r="W29" s="36">
        <v>1.181258608</v>
      </c>
      <c r="X29" s="23">
        <v>1.1822996320000001</v>
      </c>
      <c r="Y29" s="36">
        <v>1.1778752800000001</v>
      </c>
      <c r="Z29" s="23">
        <v>1.178786176</v>
      </c>
      <c r="AA29" s="9">
        <f t="shared" si="3"/>
        <v>1.0827755246174009</v>
      </c>
      <c r="AB29" s="1">
        <f t="shared" si="0"/>
        <v>1.6244753825991332E-3</v>
      </c>
      <c r="AC29" s="9">
        <f t="shared" si="1"/>
        <v>5.3705882352961254E-4</v>
      </c>
      <c r="AD29" s="2">
        <f t="shared" si="4"/>
        <v>2.6389202686705999E-6</v>
      </c>
      <c r="AE29" s="45">
        <f t="shared" si="4"/>
        <v>2.8843217993101151E-7</v>
      </c>
      <c r="AF29" s="3">
        <f t="shared" si="2"/>
        <v>1.4980407438206686E-3</v>
      </c>
      <c r="AG29" s="17">
        <f t="shared" si="5"/>
        <v>1.4980407438206686E-3</v>
      </c>
      <c r="AH29" s="5">
        <f t="shared" si="6"/>
        <v>0.14980407438206686</v>
      </c>
    </row>
    <row r="30" spans="2:34" x14ac:dyDescent="0.3">
      <c r="B30" s="9" t="s">
        <v>26</v>
      </c>
      <c r="C30" s="54">
        <v>1.0839000000000001</v>
      </c>
      <c r="D30" s="55">
        <v>1.0853999999999999</v>
      </c>
      <c r="E30" s="54">
        <v>1.0868</v>
      </c>
      <c r="F30" s="55">
        <v>1.0826</v>
      </c>
      <c r="G30" s="58">
        <v>1.09022</v>
      </c>
      <c r="H30" s="59">
        <v>1.0918800000000002</v>
      </c>
      <c r="I30" s="58">
        <v>1.08758</v>
      </c>
      <c r="J30" s="59">
        <v>1.089</v>
      </c>
      <c r="K30" s="54">
        <v>1.0839000000000001</v>
      </c>
      <c r="L30" s="60">
        <v>1.1885796484</v>
      </c>
      <c r="M30" s="61">
        <v>1.1922019344000003</v>
      </c>
      <c r="N30" s="60">
        <v>1.1828302563999999</v>
      </c>
      <c r="O30" s="61">
        <v>1.185921</v>
      </c>
      <c r="P30" s="60">
        <v>1.1748392100000002</v>
      </c>
      <c r="Q30" s="36">
        <v>1.1903894136000002</v>
      </c>
      <c r="R30" s="23">
        <v>1.1857014675999999</v>
      </c>
      <c r="S30" s="36">
        <v>1.18724958</v>
      </c>
      <c r="T30" s="23">
        <v>1.1875068504000001</v>
      </c>
      <c r="U30" s="36">
        <v>1.1890573200000001</v>
      </c>
      <c r="V30" s="23">
        <v>1.18437462</v>
      </c>
      <c r="W30" s="36">
        <v>1.1816894580000001</v>
      </c>
      <c r="X30" s="23">
        <v>1.1834887320000003</v>
      </c>
      <c r="Y30" s="36">
        <v>1.1788279620000002</v>
      </c>
      <c r="Z30" s="23">
        <v>1.1803671</v>
      </c>
      <c r="AA30" s="9">
        <f t="shared" si="3"/>
        <v>1.086690371957955</v>
      </c>
      <c r="AB30" s="1">
        <f t="shared" si="0"/>
        <v>-2.7903719579549513E-3</v>
      </c>
      <c r="AC30" s="9">
        <f t="shared" si="1"/>
        <v>3.7058823529667606E-5</v>
      </c>
      <c r="AD30" s="2">
        <f t="shared" si="4"/>
        <v>7.7861756637413482E-6</v>
      </c>
      <c r="AE30" s="45">
        <f t="shared" si="4"/>
        <v>1.3733564014030453E-9</v>
      </c>
      <c r="AF30" s="3">
        <f t="shared" si="2"/>
        <v>-2.574381361707677E-3</v>
      </c>
      <c r="AG30" s="17">
        <f t="shared" si="5"/>
        <v>2.574381361707677E-3</v>
      </c>
      <c r="AH30" s="5">
        <f t="shared" si="6"/>
        <v>0.25743813617076772</v>
      </c>
    </row>
    <row r="31" spans="2:34" x14ac:dyDescent="0.3">
      <c r="B31" s="9" t="s">
        <v>27</v>
      </c>
      <c r="C31" s="54">
        <v>1.0851</v>
      </c>
      <c r="D31" s="55">
        <v>1.0891999999999999</v>
      </c>
      <c r="E31" s="54">
        <v>1.0898000000000001</v>
      </c>
      <c r="F31" s="55">
        <v>1.0843</v>
      </c>
      <c r="G31" s="58">
        <v>1.0902800000000001</v>
      </c>
      <c r="H31" s="59">
        <v>1.0920400000000001</v>
      </c>
      <c r="I31" s="58">
        <v>1.0881399999999999</v>
      </c>
      <c r="J31" s="59">
        <v>1.0899199999999998</v>
      </c>
      <c r="K31" s="54">
        <v>1.0851</v>
      </c>
      <c r="L31" s="60">
        <v>1.1887104784000002</v>
      </c>
      <c r="M31" s="61">
        <v>1.1925513616000003</v>
      </c>
      <c r="N31" s="60">
        <v>1.1840486595999997</v>
      </c>
      <c r="O31" s="61">
        <v>1.1879256063999994</v>
      </c>
      <c r="P31" s="60">
        <v>1.1774420099999998</v>
      </c>
      <c r="Q31" s="36">
        <v>1.1906293712000002</v>
      </c>
      <c r="R31" s="23">
        <v>1.1863772792</v>
      </c>
      <c r="S31" s="36">
        <v>1.1883179775999999</v>
      </c>
      <c r="T31" s="23">
        <v>1.1882924055999999</v>
      </c>
      <c r="U31" s="36">
        <v>1.1902362367999999</v>
      </c>
      <c r="V31" s="23">
        <v>1.1859855487999997</v>
      </c>
      <c r="W31" s="36">
        <v>1.1830628280000002</v>
      </c>
      <c r="X31" s="23">
        <v>1.1849726040000002</v>
      </c>
      <c r="Y31" s="36">
        <v>1.1807407139999999</v>
      </c>
      <c r="Z31" s="23">
        <v>1.1826721919999996</v>
      </c>
      <c r="AA31" s="9">
        <f t="shared" si="3"/>
        <v>1.0892113676849948</v>
      </c>
      <c r="AB31" s="1">
        <f t="shared" si="0"/>
        <v>-4.111367684994871E-3</v>
      </c>
      <c r="AC31" s="9">
        <f t="shared" si="1"/>
        <v>1.2370588235295354E-3</v>
      </c>
      <c r="AD31" s="2">
        <f t="shared" si="4"/>
        <v>1.6903344241220084E-5</v>
      </c>
      <c r="AE31" s="45">
        <f t="shared" si="4"/>
        <v>1.5303145328722783E-6</v>
      </c>
      <c r="AF31" s="3">
        <f t="shared" si="2"/>
        <v>-3.788929762229169E-3</v>
      </c>
      <c r="AG31" s="17">
        <f t="shared" si="5"/>
        <v>3.788929762229169E-3</v>
      </c>
      <c r="AH31" s="5">
        <f t="shared" si="6"/>
        <v>0.3788929762229169</v>
      </c>
    </row>
    <row r="32" spans="2:34" x14ac:dyDescent="0.3">
      <c r="B32" s="9" t="s">
        <v>28</v>
      </c>
      <c r="C32" s="54">
        <v>1.0889</v>
      </c>
      <c r="D32" s="55">
        <v>1.0881000000000001</v>
      </c>
      <c r="E32" s="54">
        <v>1.0904</v>
      </c>
      <c r="F32" s="55">
        <v>1.0871999999999999</v>
      </c>
      <c r="G32" s="58">
        <v>1.0904000000000003</v>
      </c>
      <c r="H32" s="59">
        <v>1.0924200000000002</v>
      </c>
      <c r="I32" s="58">
        <v>1.0883600000000002</v>
      </c>
      <c r="J32" s="59">
        <v>1.0900199999999998</v>
      </c>
      <c r="K32" s="54">
        <v>1.0889</v>
      </c>
      <c r="L32" s="60">
        <v>1.1889721600000005</v>
      </c>
      <c r="M32" s="61">
        <v>1.1933814564000003</v>
      </c>
      <c r="N32" s="60">
        <v>1.1845274896000004</v>
      </c>
      <c r="O32" s="61">
        <v>1.1881436003999994</v>
      </c>
      <c r="P32" s="60">
        <v>1.18570321</v>
      </c>
      <c r="Q32" s="36">
        <v>1.1911747680000004</v>
      </c>
      <c r="R32" s="23">
        <v>1.1867477440000005</v>
      </c>
      <c r="S32" s="36">
        <v>1.1885578080000001</v>
      </c>
      <c r="T32" s="23">
        <v>1.1889462312000003</v>
      </c>
      <c r="U32" s="36">
        <v>1.1907596484</v>
      </c>
      <c r="V32" s="23">
        <v>1.1863341672000001</v>
      </c>
      <c r="W32" s="36">
        <v>1.1873365600000003</v>
      </c>
      <c r="X32" s="23">
        <v>1.1895361380000002</v>
      </c>
      <c r="Y32" s="36">
        <v>1.1851152040000001</v>
      </c>
      <c r="Z32" s="23">
        <v>1.1869227779999998</v>
      </c>
      <c r="AA32" s="9">
        <f t="shared" si="3"/>
        <v>1.0893942274105721</v>
      </c>
      <c r="AB32" s="1">
        <f t="shared" si="0"/>
        <v>-4.9422741057214559E-4</v>
      </c>
      <c r="AC32" s="9">
        <f t="shared" si="1"/>
        <v>5.037058823529561E-3</v>
      </c>
      <c r="AD32" s="2">
        <f t="shared" si="4"/>
        <v>2.4426073336084816E-7</v>
      </c>
      <c r="AE32" s="45">
        <f t="shared" si="4"/>
        <v>2.5371961591697007E-5</v>
      </c>
      <c r="AF32" s="3">
        <f t="shared" si="2"/>
        <v>-4.5387768442661916E-4</v>
      </c>
      <c r="AG32" s="17">
        <f t="shared" si="5"/>
        <v>4.5387768442661916E-4</v>
      </c>
      <c r="AH32" s="5">
        <f t="shared" si="6"/>
        <v>4.5387768442661916E-2</v>
      </c>
    </row>
    <row r="33" spans="2:34" x14ac:dyDescent="0.3">
      <c r="B33" s="9" t="s">
        <v>29</v>
      </c>
      <c r="C33" s="54">
        <v>1.0876999999999999</v>
      </c>
      <c r="D33" s="55">
        <v>1.0901000000000001</v>
      </c>
      <c r="E33" s="54">
        <v>1.0903</v>
      </c>
      <c r="F33" s="55">
        <v>1.0875999999999999</v>
      </c>
      <c r="G33" s="58">
        <v>1.0897000000000001</v>
      </c>
      <c r="H33" s="59">
        <v>1.0926</v>
      </c>
      <c r="I33" s="58">
        <v>1.08806</v>
      </c>
      <c r="J33" s="59">
        <v>1.0905999999999998</v>
      </c>
      <c r="K33" s="54">
        <v>1.0876999999999999</v>
      </c>
      <c r="L33" s="60">
        <v>1.1874460900000003</v>
      </c>
      <c r="M33" s="61">
        <v>1.1937747599999999</v>
      </c>
      <c r="N33" s="60">
        <v>1.1838745636000001</v>
      </c>
      <c r="O33" s="61">
        <v>1.1894083599999996</v>
      </c>
      <c r="P33" s="60">
        <v>1.1830912899999997</v>
      </c>
      <c r="Q33" s="36">
        <v>1.19060622</v>
      </c>
      <c r="R33" s="23">
        <v>1.1856589820000001</v>
      </c>
      <c r="S33" s="36">
        <v>1.1884268199999999</v>
      </c>
      <c r="T33" s="23">
        <v>1.188814356</v>
      </c>
      <c r="U33" s="36">
        <v>1.1915895599999997</v>
      </c>
      <c r="V33" s="23">
        <v>1.1866382359999998</v>
      </c>
      <c r="W33" s="36">
        <v>1.18526669</v>
      </c>
      <c r="X33" s="23">
        <v>1.1884210199999998</v>
      </c>
      <c r="Y33" s="36">
        <v>1.183482862</v>
      </c>
      <c r="Z33" s="23">
        <v>1.1862456199999996</v>
      </c>
      <c r="AA33" s="9">
        <f t="shared" si="3"/>
        <v>1.0924097637229178</v>
      </c>
      <c r="AB33" s="1">
        <f t="shared" si="0"/>
        <v>-4.7097637229178702E-3</v>
      </c>
      <c r="AC33" s="9">
        <f t="shared" si="1"/>
        <v>3.8370588235294711E-3</v>
      </c>
      <c r="AD33" s="2">
        <f t="shared" si="4"/>
        <v>2.2181874325713195E-5</v>
      </c>
      <c r="AE33" s="45">
        <f t="shared" si="4"/>
        <v>1.4723020415225369E-5</v>
      </c>
      <c r="AF33" s="3">
        <f t="shared" si="2"/>
        <v>-4.3300208907951368E-3</v>
      </c>
      <c r="AG33" s="17">
        <f t="shared" si="5"/>
        <v>4.3300208907951368E-3</v>
      </c>
      <c r="AH33" s="5">
        <f t="shared" si="6"/>
        <v>0.43300208907951371</v>
      </c>
    </row>
    <row r="34" spans="2:34" x14ac:dyDescent="0.3">
      <c r="B34" s="9" t="s">
        <v>30</v>
      </c>
      <c r="C34" s="54">
        <v>1.0895999999999999</v>
      </c>
      <c r="D34" s="55">
        <v>1.0938000000000001</v>
      </c>
      <c r="E34" s="54">
        <v>1.0941000000000001</v>
      </c>
      <c r="F34" s="55">
        <v>1.0892999999999999</v>
      </c>
      <c r="G34" s="58">
        <v>1.0875600000000001</v>
      </c>
      <c r="H34" s="59">
        <v>1.0917999999999999</v>
      </c>
      <c r="I34" s="58">
        <v>1.0867200000000001</v>
      </c>
      <c r="J34" s="59">
        <v>1.0899799999999999</v>
      </c>
      <c r="K34" s="54">
        <v>1.0895999999999999</v>
      </c>
      <c r="L34" s="60">
        <v>1.1827867536000001</v>
      </c>
      <c r="M34" s="61">
        <v>1.1920272399999998</v>
      </c>
      <c r="N34" s="60">
        <v>1.1809603584000004</v>
      </c>
      <c r="O34" s="61">
        <v>1.1880564003999998</v>
      </c>
      <c r="P34" s="60">
        <v>1.1872281599999999</v>
      </c>
      <c r="Q34" s="36">
        <v>1.1873980079999999</v>
      </c>
      <c r="R34" s="23">
        <v>1.1818732032000003</v>
      </c>
      <c r="S34" s="36">
        <v>1.1854186488</v>
      </c>
      <c r="T34" s="23">
        <v>1.186480896</v>
      </c>
      <c r="U34" s="36">
        <v>1.1900401639999998</v>
      </c>
      <c r="V34" s="23">
        <v>1.1845030656000002</v>
      </c>
      <c r="W34" s="36">
        <v>1.1850053759999999</v>
      </c>
      <c r="X34" s="23">
        <v>1.1896252799999998</v>
      </c>
      <c r="Y34" s="36">
        <v>1.184090112</v>
      </c>
      <c r="Z34" s="23">
        <v>1.1876422079999998</v>
      </c>
      <c r="AA34" s="9">
        <f t="shared" si="3"/>
        <v>1.0950767396599606</v>
      </c>
      <c r="AB34" s="1">
        <f t="shared" si="0"/>
        <v>-5.4767396599606499E-3</v>
      </c>
      <c r="AC34" s="9">
        <f t="shared" si="1"/>
        <v>5.7370588235294839E-3</v>
      </c>
      <c r="AD34" s="2">
        <f t="shared" si="4"/>
        <v>2.9994677302985894E-5</v>
      </c>
      <c r="AE34" s="45">
        <f t="shared" si="4"/>
        <v>3.2913843944637503E-5</v>
      </c>
      <c r="AF34" s="3">
        <f t="shared" si="2"/>
        <v>-5.0263763399051491E-3</v>
      </c>
      <c r="AG34" s="17">
        <f t="shared" si="5"/>
        <v>5.0263763399051491E-3</v>
      </c>
      <c r="AH34" s="5">
        <f t="shared" si="6"/>
        <v>0.50263763399051486</v>
      </c>
    </row>
    <row r="35" spans="2:34" x14ac:dyDescent="0.3">
      <c r="B35" s="9" t="s">
        <v>31</v>
      </c>
      <c r="C35" s="54">
        <v>1.0936999999999999</v>
      </c>
      <c r="D35" s="55">
        <v>1.0899000000000001</v>
      </c>
      <c r="E35" s="54">
        <v>1.0948</v>
      </c>
      <c r="F35" s="55">
        <v>1.0894999999999999</v>
      </c>
      <c r="G35" s="58">
        <v>1.0858399999999999</v>
      </c>
      <c r="H35" s="59">
        <v>1.08948</v>
      </c>
      <c r="I35" s="58">
        <v>1.08504</v>
      </c>
      <c r="J35" s="59">
        <v>1.0878400000000001</v>
      </c>
      <c r="K35" s="54">
        <v>1.0936999999999999</v>
      </c>
      <c r="L35" s="60">
        <v>1.1790485055999997</v>
      </c>
      <c r="M35" s="61">
        <v>1.1869666703999999</v>
      </c>
      <c r="N35" s="60">
        <v>1.1773118015999999</v>
      </c>
      <c r="O35" s="61">
        <v>1.1833958656000003</v>
      </c>
      <c r="P35" s="60">
        <v>1.1961796899999997</v>
      </c>
      <c r="Q35" s="36">
        <v>1.1830009631999998</v>
      </c>
      <c r="R35" s="23">
        <v>1.1781798336</v>
      </c>
      <c r="S35" s="36">
        <v>1.1812201856</v>
      </c>
      <c r="T35" s="23">
        <v>1.1821293792000001</v>
      </c>
      <c r="U35" s="36">
        <v>1.1851799232000002</v>
      </c>
      <c r="V35" s="23">
        <v>1.1803499136000002</v>
      </c>
      <c r="W35" s="36">
        <v>1.1875832079999997</v>
      </c>
      <c r="X35" s="23">
        <v>1.1915642759999998</v>
      </c>
      <c r="Y35" s="36">
        <v>1.186708248</v>
      </c>
      <c r="Z35" s="23">
        <v>1.1897706080000001</v>
      </c>
      <c r="AA35" s="9">
        <f t="shared" ref="AA35:AA52" si="7">J$177+(K$177*G35)+(L$177*H35)+(M$177*I35)+(N$177*J35)</f>
        <v>1.0923521493373682</v>
      </c>
      <c r="AB35" s="1">
        <f t="shared" ref="AB35:AB98" si="8">K35-AA35</f>
        <v>1.3478506626316555E-3</v>
      </c>
      <c r="AC35" s="9">
        <f t="shared" ref="AC35:AC52" si="9">K35-O$177</f>
        <v>9.8370588235294765E-3</v>
      </c>
      <c r="AD35" s="2">
        <f t="shared" si="4"/>
        <v>1.8167014087565928E-6</v>
      </c>
      <c r="AE35" s="45">
        <f t="shared" si="4"/>
        <v>9.676772629757913E-5</v>
      </c>
      <c r="AF35" s="3">
        <f t="shared" ref="AF35:AF51" si="10">AB35/K35</f>
        <v>1.2323769430663397E-3</v>
      </c>
      <c r="AG35" s="17">
        <f t="shared" si="5"/>
        <v>1.2323769430663397E-3</v>
      </c>
      <c r="AH35" s="5">
        <f t="shared" si="6"/>
        <v>0.12323769430663398</v>
      </c>
    </row>
    <row r="36" spans="2:34" x14ac:dyDescent="0.3">
      <c r="B36" s="9" t="s">
        <v>32</v>
      </c>
      <c r="C36" s="54">
        <v>1.0896999999999999</v>
      </c>
      <c r="D36" s="55">
        <v>1.0894999999999999</v>
      </c>
      <c r="E36" s="54">
        <v>1.0906</v>
      </c>
      <c r="F36" s="55">
        <v>1.0871</v>
      </c>
      <c r="G36" s="58">
        <v>1.0845199999999999</v>
      </c>
      <c r="H36" s="59">
        <v>1.0880399999999999</v>
      </c>
      <c r="I36" s="58">
        <v>1.08372</v>
      </c>
      <c r="J36" s="59">
        <v>1.0861399999999999</v>
      </c>
      <c r="K36" s="54">
        <v>1.0896999999999999</v>
      </c>
      <c r="L36" s="60">
        <v>1.1761836303999997</v>
      </c>
      <c r="M36" s="61">
        <v>1.1838310415999997</v>
      </c>
      <c r="N36" s="60">
        <v>1.1744490384000001</v>
      </c>
      <c r="O36" s="61">
        <v>1.1797000995999998</v>
      </c>
      <c r="P36" s="60">
        <v>1.1874460899999997</v>
      </c>
      <c r="Q36" s="36">
        <v>1.1800011407999997</v>
      </c>
      <c r="R36" s="23">
        <v>1.1753160143999999</v>
      </c>
      <c r="S36" s="36">
        <v>1.1779405527999998</v>
      </c>
      <c r="T36" s="23">
        <v>1.1791307087999998</v>
      </c>
      <c r="U36" s="36">
        <v>1.1817637655999997</v>
      </c>
      <c r="V36" s="23">
        <v>1.1770716407999999</v>
      </c>
      <c r="W36" s="36">
        <v>1.1818014439999998</v>
      </c>
      <c r="X36" s="23">
        <v>1.1856371879999998</v>
      </c>
      <c r="Y36" s="36">
        <v>1.1809296839999999</v>
      </c>
      <c r="Z36" s="23">
        <v>1.1835667579999998</v>
      </c>
      <c r="AA36" s="9">
        <f t="shared" si="7"/>
        <v>1.0901836965161704</v>
      </c>
      <c r="AB36" s="1">
        <f t="shared" si="8"/>
        <v>-4.8369651617052867E-4</v>
      </c>
      <c r="AC36" s="9">
        <f t="shared" si="9"/>
        <v>5.8370588235294729E-3</v>
      </c>
      <c r="AD36" s="2">
        <f t="shared" si="4"/>
        <v>2.3396231975550649E-7</v>
      </c>
      <c r="AE36" s="45">
        <f t="shared" si="4"/>
        <v>3.4071255709343273E-5</v>
      </c>
      <c r="AF36" s="3">
        <f t="shared" si="10"/>
        <v>-4.4388044064469918E-4</v>
      </c>
      <c r="AG36" s="17">
        <f t="shared" si="5"/>
        <v>4.4388044064469918E-4</v>
      </c>
      <c r="AH36" s="5">
        <f t="shared" si="6"/>
        <v>4.4388044064469917E-2</v>
      </c>
    </row>
    <row r="37" spans="2:34" x14ac:dyDescent="0.3">
      <c r="B37" s="9" t="s">
        <v>33</v>
      </c>
      <c r="C37" s="54">
        <v>1.0893999999999999</v>
      </c>
      <c r="D37" s="55">
        <v>1.0887</v>
      </c>
      <c r="E37" s="54">
        <v>1.0923</v>
      </c>
      <c r="F37" s="55">
        <v>1.0883</v>
      </c>
      <c r="G37" s="58">
        <v>1.0829599999999999</v>
      </c>
      <c r="H37" s="59">
        <v>1.0865</v>
      </c>
      <c r="I37" s="58">
        <v>1.0821000000000001</v>
      </c>
      <c r="J37" s="59">
        <v>1.0847000000000002</v>
      </c>
      <c r="K37" s="54">
        <v>1.0893999999999999</v>
      </c>
      <c r="L37" s="60">
        <v>1.1728023615999998</v>
      </c>
      <c r="M37" s="61">
        <v>1.1804822500000001</v>
      </c>
      <c r="N37" s="60">
        <v>1.17094041</v>
      </c>
      <c r="O37" s="61">
        <v>1.1765740900000006</v>
      </c>
      <c r="P37" s="60">
        <v>1.1867923599999999</v>
      </c>
      <c r="Q37" s="36">
        <v>1.17663604</v>
      </c>
      <c r="R37" s="23">
        <v>1.1718710159999999</v>
      </c>
      <c r="S37" s="36">
        <v>1.1746867120000002</v>
      </c>
      <c r="T37" s="23">
        <v>1.1757016500000002</v>
      </c>
      <c r="U37" s="36">
        <v>1.1785265500000002</v>
      </c>
      <c r="V37" s="23">
        <v>1.1737538700000003</v>
      </c>
      <c r="W37" s="36">
        <v>1.1797766239999998</v>
      </c>
      <c r="X37" s="23">
        <v>1.1836331</v>
      </c>
      <c r="Y37" s="36">
        <v>1.1788397399999999</v>
      </c>
      <c r="Z37" s="23">
        <v>1.1816721800000001</v>
      </c>
      <c r="AA37" s="9">
        <f t="shared" si="7"/>
        <v>1.0890434995397842</v>
      </c>
      <c r="AB37" s="1">
        <f t="shared" si="8"/>
        <v>3.5650046021573623E-4</v>
      </c>
      <c r="AC37" s="9">
        <f t="shared" si="9"/>
        <v>5.537058823529506E-3</v>
      </c>
      <c r="AD37" s="2">
        <f t="shared" si="4"/>
        <v>1.2709257813403173E-7</v>
      </c>
      <c r="AE37" s="45">
        <f t="shared" si="4"/>
        <v>3.065902041522596E-5</v>
      </c>
      <c r="AF37" s="3">
        <f t="shared" si="10"/>
        <v>3.2724477713946782E-4</v>
      </c>
      <c r="AG37" s="17">
        <f t="shared" si="5"/>
        <v>3.2724477713946782E-4</v>
      </c>
      <c r="AH37" s="5">
        <f t="shared" si="6"/>
        <v>3.2724477713946785E-2</v>
      </c>
    </row>
    <row r="38" spans="2:34" x14ac:dyDescent="0.3">
      <c r="B38" s="40">
        <v>45633</v>
      </c>
      <c r="C38" s="54">
        <v>1.0906</v>
      </c>
      <c r="D38" s="55">
        <v>1.0866</v>
      </c>
      <c r="E38" s="54">
        <v>1.0911999999999999</v>
      </c>
      <c r="F38" s="55">
        <v>1.0861000000000001</v>
      </c>
      <c r="G38" s="58">
        <v>1.08188</v>
      </c>
      <c r="H38" s="59">
        <v>1.0851200000000001</v>
      </c>
      <c r="I38" s="58">
        <v>1.0810600000000001</v>
      </c>
      <c r="J38" s="59">
        <v>1.0832999999999999</v>
      </c>
      <c r="K38" s="54">
        <v>1.0906</v>
      </c>
      <c r="L38" s="60">
        <v>1.1704643343999999</v>
      </c>
      <c r="M38" s="61">
        <v>1.1774854144000002</v>
      </c>
      <c r="N38" s="60">
        <v>1.1686907236000004</v>
      </c>
      <c r="O38" s="61">
        <v>1.1735388899999999</v>
      </c>
      <c r="P38" s="60">
        <v>1.1894083600000001</v>
      </c>
      <c r="Q38" s="36">
        <v>1.1739696256000001</v>
      </c>
      <c r="R38" s="23">
        <v>1.1695771928000001</v>
      </c>
      <c r="S38" s="36">
        <v>1.1720006039999999</v>
      </c>
      <c r="T38" s="23">
        <v>1.1730798272000003</v>
      </c>
      <c r="U38" s="36">
        <v>1.175510496</v>
      </c>
      <c r="V38" s="23">
        <v>1.1711122980000002</v>
      </c>
      <c r="W38" s="36">
        <v>1.1798983279999999</v>
      </c>
      <c r="X38" s="23">
        <v>1.1834318720000001</v>
      </c>
      <c r="Y38" s="36">
        <v>1.1790040360000003</v>
      </c>
      <c r="Z38" s="23">
        <v>1.18144698</v>
      </c>
      <c r="AA38" s="9">
        <f t="shared" si="7"/>
        <v>1.0872204248025317</v>
      </c>
      <c r="AB38" s="1">
        <f t="shared" si="8"/>
        <v>3.379575197468343E-3</v>
      </c>
      <c r="AC38" s="9">
        <f t="shared" si="9"/>
        <v>6.7370588235295958E-3</v>
      </c>
      <c r="AD38" s="2">
        <f t="shared" si="4"/>
        <v>1.1421528515343189E-5</v>
      </c>
      <c r="AE38" s="45">
        <f t="shared" si="4"/>
        <v>4.5387961591697982E-5</v>
      </c>
      <c r="AF38" s="3">
        <f t="shared" si="10"/>
        <v>3.0988219305596396E-3</v>
      </c>
      <c r="AG38" s="17">
        <f t="shared" si="5"/>
        <v>3.0988219305596396E-3</v>
      </c>
      <c r="AH38" s="5">
        <f t="shared" si="6"/>
        <v>0.30988219305596398</v>
      </c>
    </row>
    <row r="39" spans="2:34" x14ac:dyDescent="0.3">
      <c r="B39" s="40">
        <v>45603</v>
      </c>
      <c r="C39" s="54">
        <v>1.0865</v>
      </c>
      <c r="D39" s="55">
        <v>1.0831</v>
      </c>
      <c r="E39" s="54">
        <v>1.0901000000000001</v>
      </c>
      <c r="F39" s="55">
        <v>1.0826</v>
      </c>
      <c r="G39" s="58">
        <v>1.0809799999999998</v>
      </c>
      <c r="H39" s="59">
        <v>1.08338</v>
      </c>
      <c r="I39" s="58">
        <v>1.0802</v>
      </c>
      <c r="J39" s="59">
        <v>1.0821999999999998</v>
      </c>
      <c r="K39" s="54">
        <v>1.0865</v>
      </c>
      <c r="L39" s="60">
        <v>1.1685177603999997</v>
      </c>
      <c r="M39" s="61">
        <v>1.1737122244</v>
      </c>
      <c r="N39" s="60">
        <v>1.1668320400000001</v>
      </c>
      <c r="O39" s="61">
        <v>1.1711568399999996</v>
      </c>
      <c r="P39" s="60">
        <v>1.1804822500000001</v>
      </c>
      <c r="Q39" s="36">
        <v>1.1711121123999999</v>
      </c>
      <c r="R39" s="23">
        <v>1.1676745959999999</v>
      </c>
      <c r="S39" s="36">
        <v>1.1698365559999997</v>
      </c>
      <c r="T39" s="23">
        <v>1.170267076</v>
      </c>
      <c r="U39" s="36">
        <v>1.1724338359999997</v>
      </c>
      <c r="V39" s="23">
        <v>1.1689924399999998</v>
      </c>
      <c r="W39" s="36">
        <v>1.1744847699999998</v>
      </c>
      <c r="X39" s="23">
        <v>1.17709237</v>
      </c>
      <c r="Y39" s="36">
        <v>1.1736373</v>
      </c>
      <c r="Z39" s="23">
        <v>1.1758102999999998</v>
      </c>
      <c r="AA39" s="9">
        <f t="shared" si="7"/>
        <v>1.0857247345230099</v>
      </c>
      <c r="AB39" s="1">
        <f t="shared" si="8"/>
        <v>7.7526547699013904E-4</v>
      </c>
      <c r="AC39" s="9">
        <f t="shared" si="9"/>
        <v>2.6370588235296033E-3</v>
      </c>
      <c r="AD39" s="2">
        <f t="shared" si="4"/>
        <v>6.0103655981274781E-7</v>
      </c>
      <c r="AE39" s="45">
        <f t="shared" si="4"/>
        <v>6.9540792387553352E-6</v>
      </c>
      <c r="AF39" s="3">
        <f t="shared" si="10"/>
        <v>7.1354392728038569E-4</v>
      </c>
      <c r="AG39" s="17">
        <f t="shared" si="5"/>
        <v>7.1354392728038569E-4</v>
      </c>
      <c r="AH39" s="5">
        <f t="shared" si="6"/>
        <v>7.1354392728038563E-2</v>
      </c>
    </row>
    <row r="40" spans="2:34" x14ac:dyDescent="0.3">
      <c r="B40" s="40">
        <v>45572</v>
      </c>
      <c r="C40" s="54">
        <v>1.083</v>
      </c>
      <c r="D40" s="55">
        <v>1.0812999999999999</v>
      </c>
      <c r="E40" s="54">
        <v>1.0831999999999999</v>
      </c>
      <c r="F40" s="55">
        <v>1.0810999999999999</v>
      </c>
      <c r="G40" s="58">
        <v>1.07958</v>
      </c>
      <c r="H40" s="59">
        <v>1.0831000000000002</v>
      </c>
      <c r="I40" s="58">
        <v>1.0786800000000001</v>
      </c>
      <c r="J40" s="59">
        <v>1.0813199999999998</v>
      </c>
      <c r="K40" s="54">
        <v>1.083</v>
      </c>
      <c r="L40" s="60">
        <v>1.1654929763999999</v>
      </c>
      <c r="M40" s="61">
        <v>1.1731056100000004</v>
      </c>
      <c r="N40" s="60">
        <v>1.1635505424000001</v>
      </c>
      <c r="O40" s="61">
        <v>1.1692529423999996</v>
      </c>
      <c r="P40" s="60">
        <v>1.1728889999999998</v>
      </c>
      <c r="Q40" s="36">
        <v>1.1692930980000003</v>
      </c>
      <c r="R40" s="23">
        <v>1.1645213544000002</v>
      </c>
      <c r="S40" s="36">
        <v>1.1673714455999997</v>
      </c>
      <c r="T40" s="23">
        <v>1.1683183080000004</v>
      </c>
      <c r="U40" s="36">
        <v>1.1711776920000001</v>
      </c>
      <c r="V40" s="23">
        <v>1.1663982575999998</v>
      </c>
      <c r="W40" s="36">
        <v>1.16918514</v>
      </c>
      <c r="X40" s="23">
        <v>1.1729973000000002</v>
      </c>
      <c r="Y40" s="36">
        <v>1.16821044</v>
      </c>
      <c r="Z40" s="23">
        <v>1.1710695599999998</v>
      </c>
      <c r="AA40" s="9">
        <f t="shared" si="7"/>
        <v>1.0859632095024847</v>
      </c>
      <c r="AB40" s="1">
        <f t="shared" si="8"/>
        <v>-2.9632095024847427E-3</v>
      </c>
      <c r="AC40" s="9">
        <f t="shared" si="9"/>
        <v>-8.6294117647045532E-4</v>
      </c>
      <c r="AD40" s="2">
        <f t="shared" si="4"/>
        <v>8.7806105556158757E-6</v>
      </c>
      <c r="AE40" s="45">
        <f t="shared" si="4"/>
        <v>7.4466747404821354E-7</v>
      </c>
      <c r="AF40" s="3">
        <f t="shared" si="10"/>
        <v>-2.7361121906599654E-3</v>
      </c>
      <c r="AG40" s="17">
        <f t="shared" si="5"/>
        <v>2.7361121906599654E-3</v>
      </c>
      <c r="AH40" s="5">
        <f t="shared" si="6"/>
        <v>0.27361121906599656</v>
      </c>
    </row>
    <row r="41" spans="2:34" x14ac:dyDescent="0.3">
      <c r="B41" s="40">
        <v>45542</v>
      </c>
      <c r="C41" s="54">
        <v>1.0811999999999999</v>
      </c>
      <c r="D41" s="55">
        <v>1.0829</v>
      </c>
      <c r="E41" s="54">
        <v>1.0833999999999999</v>
      </c>
      <c r="F41" s="55">
        <v>1.0805</v>
      </c>
      <c r="G41" s="58">
        <v>1.0778199999999998</v>
      </c>
      <c r="H41" s="59">
        <v>1.0813799999999998</v>
      </c>
      <c r="I41" s="58">
        <v>1.0767599999999999</v>
      </c>
      <c r="J41" s="59">
        <v>1.07996</v>
      </c>
      <c r="K41" s="54">
        <v>1.0811999999999999</v>
      </c>
      <c r="L41" s="60">
        <v>1.1616959523999995</v>
      </c>
      <c r="M41" s="61">
        <v>1.1693827043999996</v>
      </c>
      <c r="N41" s="60">
        <v>1.1594120976</v>
      </c>
      <c r="O41" s="61">
        <v>1.1663136016</v>
      </c>
      <c r="P41" s="60">
        <v>1.1689934399999999</v>
      </c>
      <c r="Q41" s="36">
        <v>1.1655329915999995</v>
      </c>
      <c r="R41" s="23">
        <v>1.1605534631999996</v>
      </c>
      <c r="S41" s="36">
        <v>1.1640024871999999</v>
      </c>
      <c r="T41" s="23">
        <v>1.1643867287999996</v>
      </c>
      <c r="U41" s="36">
        <v>1.1678471447999998</v>
      </c>
      <c r="V41" s="23">
        <v>1.1628577296</v>
      </c>
      <c r="W41" s="36">
        <v>1.1653389839999997</v>
      </c>
      <c r="X41" s="23">
        <v>1.1691880559999996</v>
      </c>
      <c r="Y41" s="36">
        <v>1.1641929119999999</v>
      </c>
      <c r="Z41" s="23">
        <v>1.167652752</v>
      </c>
      <c r="AA41" s="9">
        <f t="shared" si="7"/>
        <v>1.0852854161364389</v>
      </c>
      <c r="AB41" s="1">
        <f t="shared" si="8"/>
        <v>-4.0854161364389796E-3</v>
      </c>
      <c r="AC41" s="9">
        <f t="shared" si="9"/>
        <v>-2.6629411764704791E-3</v>
      </c>
      <c r="AD41" s="2">
        <f t="shared" si="4"/>
        <v>1.6690625007875998E-5</v>
      </c>
      <c r="AE41" s="45">
        <f t="shared" si="4"/>
        <v>7.0912557093419797E-6</v>
      </c>
      <c r="AF41" s="3">
        <f t="shared" si="10"/>
        <v>-3.7785942808351643E-3</v>
      </c>
      <c r="AG41" s="17">
        <f t="shared" si="5"/>
        <v>3.7785942808351643E-3</v>
      </c>
      <c r="AH41" s="5">
        <f t="shared" si="6"/>
        <v>0.37785942808351641</v>
      </c>
    </row>
    <row r="42" spans="2:34" x14ac:dyDescent="0.3">
      <c r="B42" s="40">
        <v>45511</v>
      </c>
      <c r="C42" s="54">
        <v>1.0822000000000001</v>
      </c>
      <c r="D42" s="55">
        <v>1.0809</v>
      </c>
      <c r="E42" s="54">
        <v>1.0846</v>
      </c>
      <c r="F42" s="55">
        <v>1.0802</v>
      </c>
      <c r="G42" s="58">
        <v>1.0761999999999998</v>
      </c>
      <c r="H42" s="59">
        <v>1.08</v>
      </c>
      <c r="I42" s="58">
        <v>1.0751000000000002</v>
      </c>
      <c r="J42" s="59">
        <v>1.0782799999999999</v>
      </c>
      <c r="K42" s="54">
        <v>1.0822000000000001</v>
      </c>
      <c r="L42" s="60">
        <v>1.1582064399999996</v>
      </c>
      <c r="M42" s="61">
        <v>1.1664000000000001</v>
      </c>
      <c r="N42" s="60">
        <v>1.1558400100000004</v>
      </c>
      <c r="O42" s="61">
        <v>1.1626877583999997</v>
      </c>
      <c r="P42" s="60">
        <v>1.1711568400000001</v>
      </c>
      <c r="Q42" s="36">
        <v>1.162296</v>
      </c>
      <c r="R42" s="23">
        <v>1.15702262</v>
      </c>
      <c r="S42" s="36">
        <v>1.1604449359999998</v>
      </c>
      <c r="T42" s="23">
        <v>1.1611080000000003</v>
      </c>
      <c r="U42" s="36">
        <v>1.1645424</v>
      </c>
      <c r="V42" s="23">
        <v>1.159258828</v>
      </c>
      <c r="W42" s="36">
        <v>1.1646636399999999</v>
      </c>
      <c r="X42" s="23">
        <v>1.168776</v>
      </c>
      <c r="Y42" s="36">
        <v>1.1634732200000002</v>
      </c>
      <c r="Z42" s="23">
        <v>1.1669146159999999</v>
      </c>
      <c r="AA42" s="9">
        <f t="shared" si="7"/>
        <v>1.0837091014203972</v>
      </c>
      <c r="AB42" s="1">
        <f t="shared" si="8"/>
        <v>-1.5091014203971742E-3</v>
      </c>
      <c r="AC42" s="9">
        <f t="shared" si="9"/>
        <v>-1.6629411764703672E-3</v>
      </c>
      <c r="AD42" s="2">
        <f t="shared" si="4"/>
        <v>2.2773870970447688E-6</v>
      </c>
      <c r="AE42" s="45">
        <f t="shared" si="4"/>
        <v>2.7653733564006489E-6</v>
      </c>
      <c r="AF42" s="3">
        <f t="shared" si="10"/>
        <v>-1.3944755316920847E-3</v>
      </c>
      <c r="AG42" s="17">
        <f t="shared" si="5"/>
        <v>1.3944755316920847E-3</v>
      </c>
      <c r="AH42" s="5">
        <f t="shared" si="6"/>
        <v>0.13944755316920848</v>
      </c>
    </row>
    <row r="43" spans="2:34" x14ac:dyDescent="0.3">
      <c r="B43" s="40">
        <v>45419</v>
      </c>
      <c r="C43" s="54">
        <v>1.0835999999999999</v>
      </c>
      <c r="D43" s="55">
        <v>1.0811999999999999</v>
      </c>
      <c r="E43" s="54">
        <v>1.0843</v>
      </c>
      <c r="F43" s="55">
        <v>1.0809</v>
      </c>
      <c r="G43" s="58">
        <v>1.0740199999999998</v>
      </c>
      <c r="H43" s="59">
        <v>1.0776599999999998</v>
      </c>
      <c r="I43" s="58">
        <v>1.0726</v>
      </c>
      <c r="J43" s="59">
        <v>1.07582</v>
      </c>
      <c r="K43" s="54">
        <v>1.0835999999999999</v>
      </c>
      <c r="L43" s="60">
        <v>1.1535189603999996</v>
      </c>
      <c r="M43" s="61">
        <v>1.1613510755999996</v>
      </c>
      <c r="N43" s="60">
        <v>1.1504707599999999</v>
      </c>
      <c r="O43" s="61">
        <v>1.1573886724</v>
      </c>
      <c r="P43" s="60">
        <v>1.1741889599999997</v>
      </c>
      <c r="Q43" s="36">
        <v>1.1574283931999996</v>
      </c>
      <c r="R43" s="23">
        <v>1.1519938519999997</v>
      </c>
      <c r="S43" s="36">
        <v>1.1554521963999997</v>
      </c>
      <c r="T43" s="23">
        <v>1.1558981159999999</v>
      </c>
      <c r="U43" s="36">
        <v>1.1593681811999998</v>
      </c>
      <c r="V43" s="23">
        <v>1.153924532</v>
      </c>
      <c r="W43" s="36">
        <v>1.1638080719999997</v>
      </c>
      <c r="X43" s="23">
        <v>1.1677523759999997</v>
      </c>
      <c r="Y43" s="36">
        <v>1.1622693599999998</v>
      </c>
      <c r="Z43" s="23">
        <v>1.1657585519999998</v>
      </c>
      <c r="AA43" s="9">
        <f t="shared" si="7"/>
        <v>1.0808122494109278</v>
      </c>
      <c r="AB43" s="1">
        <f t="shared" si="8"/>
        <v>2.7877505890721022E-3</v>
      </c>
      <c r="AC43" s="9">
        <f t="shared" si="9"/>
        <v>-2.629411764705214E-4</v>
      </c>
      <c r="AD43" s="2">
        <f t="shared" si="4"/>
        <v>7.7715533468718521E-6</v>
      </c>
      <c r="AE43" s="45">
        <f t="shared" si="4"/>
        <v>6.9138062283701874E-8</v>
      </c>
      <c r="AF43" s="3">
        <f t="shared" si="10"/>
        <v>2.5726749622296996E-3</v>
      </c>
      <c r="AG43" s="17">
        <f t="shared" si="5"/>
        <v>2.5726749622296996E-3</v>
      </c>
      <c r="AH43" s="5">
        <f t="shared" si="6"/>
        <v>0.25726749622296996</v>
      </c>
    </row>
    <row r="44" spans="2:34" x14ac:dyDescent="0.3">
      <c r="B44" s="40">
        <v>45389</v>
      </c>
      <c r="C44" s="54">
        <v>1.081</v>
      </c>
      <c r="D44" s="55">
        <v>1.0786</v>
      </c>
      <c r="E44" s="54">
        <v>1.0813999999999999</v>
      </c>
      <c r="F44" s="55">
        <v>1.0783</v>
      </c>
      <c r="G44" s="58">
        <v>1.0719000000000001</v>
      </c>
      <c r="H44" s="59">
        <v>1.0759200000000002</v>
      </c>
      <c r="I44" s="58">
        <v>1.0704600000000002</v>
      </c>
      <c r="J44" s="59">
        <v>1.0736599999999998</v>
      </c>
      <c r="K44" s="54">
        <v>1.081</v>
      </c>
      <c r="L44" s="60">
        <v>1.1489696100000002</v>
      </c>
      <c r="M44" s="61">
        <v>1.1576038464000005</v>
      </c>
      <c r="N44" s="60">
        <v>1.1458846116000003</v>
      </c>
      <c r="O44" s="61">
        <v>1.1527457955999996</v>
      </c>
      <c r="P44" s="60">
        <v>1.168561</v>
      </c>
      <c r="Q44" s="36">
        <v>1.1532786480000004</v>
      </c>
      <c r="R44" s="23">
        <v>1.1474260740000002</v>
      </c>
      <c r="S44" s="36">
        <v>1.150856154</v>
      </c>
      <c r="T44" s="23">
        <v>1.1517293232000003</v>
      </c>
      <c r="U44" s="36">
        <v>1.1551722672</v>
      </c>
      <c r="V44" s="23">
        <v>1.1493100836000001</v>
      </c>
      <c r="W44" s="36">
        <v>1.1587239</v>
      </c>
      <c r="X44" s="23">
        <v>1.1630695200000001</v>
      </c>
      <c r="Y44" s="36">
        <v>1.1571672600000003</v>
      </c>
      <c r="Z44" s="23">
        <v>1.1606264599999998</v>
      </c>
      <c r="AA44" s="9">
        <f t="shared" si="7"/>
        <v>1.0788811184247002</v>
      </c>
      <c r="AB44" s="1">
        <f t="shared" si="8"/>
        <v>2.1188815752997137E-3</v>
      </c>
      <c r="AC44" s="9">
        <f t="shared" si="9"/>
        <v>-2.8629411764704571E-3</v>
      </c>
      <c r="AD44" s="2">
        <f t="shared" si="4"/>
        <v>4.4896591301445963E-6</v>
      </c>
      <c r="AE44" s="45">
        <f t="shared" si="4"/>
        <v>8.1964321799300447E-6</v>
      </c>
      <c r="AF44" s="3">
        <f t="shared" si="10"/>
        <v>1.9601124655871543E-3</v>
      </c>
      <c r="AG44" s="17">
        <f t="shared" si="5"/>
        <v>1.9601124655871543E-3</v>
      </c>
      <c r="AH44" s="5">
        <f t="shared" si="6"/>
        <v>0.19601124655871544</v>
      </c>
    </row>
    <row r="45" spans="2:34" x14ac:dyDescent="0.3">
      <c r="B45" s="40">
        <v>45358</v>
      </c>
      <c r="C45" s="54">
        <v>1.0786</v>
      </c>
      <c r="D45" s="55">
        <v>1.0743</v>
      </c>
      <c r="E45" s="54">
        <v>1.0818000000000001</v>
      </c>
      <c r="F45" s="55">
        <v>1.0734999999999999</v>
      </c>
      <c r="G45" s="58">
        <v>1.0712999999999999</v>
      </c>
      <c r="H45" s="59">
        <v>1.07392</v>
      </c>
      <c r="I45" s="58">
        <v>1.06908</v>
      </c>
      <c r="J45" s="59">
        <v>1.07152</v>
      </c>
      <c r="K45" s="54">
        <v>1.0786</v>
      </c>
      <c r="L45" s="60">
        <v>1.1476836899999998</v>
      </c>
      <c r="M45" s="61">
        <v>1.1533041663999999</v>
      </c>
      <c r="N45" s="60">
        <v>1.1429320464000001</v>
      </c>
      <c r="O45" s="61">
        <v>1.1481551104000001</v>
      </c>
      <c r="P45" s="60">
        <v>1.16337796</v>
      </c>
      <c r="Q45" s="36">
        <v>1.150490496</v>
      </c>
      <c r="R45" s="23">
        <v>1.1453054039999999</v>
      </c>
      <c r="S45" s="36">
        <v>1.1479193759999999</v>
      </c>
      <c r="T45" s="23">
        <v>1.1481063936</v>
      </c>
      <c r="U45" s="36">
        <v>1.1507267584</v>
      </c>
      <c r="V45" s="23">
        <v>1.1455406016</v>
      </c>
      <c r="W45" s="36">
        <v>1.1555041799999999</v>
      </c>
      <c r="X45" s="23">
        <v>1.158330112</v>
      </c>
      <c r="Y45" s="36">
        <v>1.153109688</v>
      </c>
      <c r="Z45" s="23">
        <v>1.1557414720000001</v>
      </c>
      <c r="AA45" s="9">
        <f t="shared" si="7"/>
        <v>1.0736877195885943</v>
      </c>
      <c r="AB45" s="1">
        <f t="shared" si="8"/>
        <v>4.9122804114056784E-3</v>
      </c>
      <c r="AC45" s="9">
        <f t="shared" si="9"/>
        <v>-5.2629411764704148E-3</v>
      </c>
      <c r="AD45" s="2">
        <f t="shared" si="4"/>
        <v>2.413049884027994E-5</v>
      </c>
      <c r="AE45" s="45">
        <f t="shared" si="4"/>
        <v>2.7698549826987794E-5</v>
      </c>
      <c r="AF45" s="3">
        <f t="shared" si="10"/>
        <v>4.554311525501278E-3</v>
      </c>
      <c r="AG45" s="17">
        <f t="shared" si="5"/>
        <v>4.554311525501278E-3</v>
      </c>
      <c r="AH45" s="5">
        <f t="shared" si="6"/>
        <v>0.45543115255012778</v>
      </c>
    </row>
    <row r="46" spans="2:34" x14ac:dyDescent="0.3">
      <c r="B46" s="40">
        <v>45329</v>
      </c>
      <c r="C46" s="54">
        <v>1.0744</v>
      </c>
      <c r="D46" s="55">
        <v>1.0741000000000001</v>
      </c>
      <c r="E46" s="54">
        <v>1.0748</v>
      </c>
      <c r="F46" s="55">
        <v>1.0709</v>
      </c>
      <c r="G46" s="58">
        <v>1.07118</v>
      </c>
      <c r="H46" s="59">
        <v>1.0738600000000003</v>
      </c>
      <c r="I46" s="58">
        <v>1.0687</v>
      </c>
      <c r="J46" s="59">
        <v>1.0709</v>
      </c>
      <c r="K46" s="54">
        <v>1.0744</v>
      </c>
      <c r="L46" s="60">
        <v>1.1474265924</v>
      </c>
      <c r="M46" s="61">
        <v>1.1531752996000006</v>
      </c>
      <c r="N46" s="60">
        <v>1.1421196899999999</v>
      </c>
      <c r="O46" s="61">
        <v>1.1468268099999999</v>
      </c>
      <c r="P46" s="60">
        <v>1.1543353600000001</v>
      </c>
      <c r="Q46" s="36">
        <v>1.1502973548000004</v>
      </c>
      <c r="R46" s="23">
        <v>1.144770066</v>
      </c>
      <c r="S46" s="36">
        <v>1.147126662</v>
      </c>
      <c r="T46" s="23">
        <v>1.1476341820000002</v>
      </c>
      <c r="U46" s="36">
        <v>1.1499966740000003</v>
      </c>
      <c r="V46" s="23">
        <v>1.1444708299999999</v>
      </c>
      <c r="W46" s="36">
        <v>1.1508757920000001</v>
      </c>
      <c r="X46" s="23">
        <v>1.1537551840000002</v>
      </c>
      <c r="Y46" s="36">
        <v>1.1482112799999999</v>
      </c>
      <c r="Z46" s="23">
        <v>1.1505749599999999</v>
      </c>
      <c r="AA46" s="9">
        <f t="shared" si="7"/>
        <v>1.0721928817449562</v>
      </c>
      <c r="AB46" s="1">
        <f t="shared" si="8"/>
        <v>2.2071182550438273E-3</v>
      </c>
      <c r="AC46" s="9">
        <f t="shared" si="9"/>
        <v>-9.4629411764703963E-3</v>
      </c>
      <c r="AD46" s="2">
        <f t="shared" si="4"/>
        <v>4.871370991747709E-6</v>
      </c>
      <c r="AE46" s="45">
        <f t="shared" si="4"/>
        <v>8.9547255709338932E-5</v>
      </c>
      <c r="AF46" s="3">
        <f t="shared" si="10"/>
        <v>2.05427983529768E-3</v>
      </c>
      <c r="AG46" s="17">
        <f t="shared" si="5"/>
        <v>2.05427983529768E-3</v>
      </c>
      <c r="AH46" s="5">
        <f t="shared" si="6"/>
        <v>0.20542798352976799</v>
      </c>
    </row>
    <row r="47" spans="2:34" x14ac:dyDescent="0.3">
      <c r="B47" s="40">
        <v>45298</v>
      </c>
      <c r="C47" s="54">
        <v>1.0738000000000001</v>
      </c>
      <c r="D47" s="55">
        <v>1.0728</v>
      </c>
      <c r="E47" s="54">
        <v>1.0777000000000001</v>
      </c>
      <c r="F47" s="55">
        <v>1.0719000000000001</v>
      </c>
      <c r="G47" s="58">
        <v>1.0703800000000001</v>
      </c>
      <c r="H47" s="59">
        <v>1.0732599999999999</v>
      </c>
      <c r="I47" s="58">
        <v>1.0679799999999999</v>
      </c>
      <c r="J47" s="59">
        <v>1.0707799999999998</v>
      </c>
      <c r="K47" s="54">
        <v>1.0738000000000001</v>
      </c>
      <c r="L47" s="60">
        <v>1.1457133444000003</v>
      </c>
      <c r="M47" s="61">
        <v>1.1518870275999997</v>
      </c>
      <c r="N47" s="60">
        <v>1.1405812804</v>
      </c>
      <c r="O47" s="61">
        <v>1.1465698083999996</v>
      </c>
      <c r="P47" s="60">
        <v>1.1530464400000002</v>
      </c>
      <c r="Q47" s="36">
        <v>1.1487960388</v>
      </c>
      <c r="R47" s="23">
        <v>1.1431444324</v>
      </c>
      <c r="S47" s="36">
        <v>1.1461414963999998</v>
      </c>
      <c r="T47" s="23">
        <v>1.1462202147999998</v>
      </c>
      <c r="U47" s="36">
        <v>1.1492253427999997</v>
      </c>
      <c r="V47" s="23">
        <v>1.1435716243999998</v>
      </c>
      <c r="W47" s="36">
        <v>1.1493740440000002</v>
      </c>
      <c r="X47" s="23">
        <v>1.152466588</v>
      </c>
      <c r="Y47" s="36">
        <v>1.146796924</v>
      </c>
      <c r="Z47" s="23">
        <v>1.1498035639999999</v>
      </c>
      <c r="AA47" s="9">
        <f t="shared" si="7"/>
        <v>1.0732627259746272</v>
      </c>
      <c r="AB47" s="1">
        <f t="shared" si="8"/>
        <v>5.3727402537284696E-4</v>
      </c>
      <c r="AC47" s="9">
        <f t="shared" si="9"/>
        <v>-1.006294117647033E-2</v>
      </c>
      <c r="AD47" s="2">
        <f t="shared" si="4"/>
        <v>2.8866337834034262E-7</v>
      </c>
      <c r="AE47" s="45">
        <f t="shared" si="4"/>
        <v>1.0126278512110208E-4</v>
      </c>
      <c r="AF47" s="3">
        <f t="shared" si="10"/>
        <v>5.0034831940104951E-4</v>
      </c>
      <c r="AG47" s="17">
        <f t="shared" si="5"/>
        <v>5.0034831940104951E-4</v>
      </c>
      <c r="AH47" s="5">
        <f t="shared" si="6"/>
        <v>5.0034831940104954E-2</v>
      </c>
    </row>
    <row r="48" spans="2:34" x14ac:dyDescent="0.3">
      <c r="B48" s="9" t="s">
        <v>34</v>
      </c>
      <c r="C48" s="54">
        <v>1.0712999999999999</v>
      </c>
      <c r="D48" s="55">
        <v>1.0703</v>
      </c>
      <c r="E48" s="54">
        <v>1.0726</v>
      </c>
      <c r="F48" s="55">
        <v>1.0684</v>
      </c>
      <c r="G48" s="58">
        <v>1.0703599999999998</v>
      </c>
      <c r="H48" s="59">
        <v>1.0731599999999999</v>
      </c>
      <c r="I48" s="58">
        <v>1.0676999999999999</v>
      </c>
      <c r="J48" s="59">
        <v>1.0703400000000001</v>
      </c>
      <c r="K48" s="54">
        <v>1.0712999999999999</v>
      </c>
      <c r="L48" s="60">
        <v>1.1456705295999994</v>
      </c>
      <c r="M48" s="61">
        <v>1.1516723855999997</v>
      </c>
      <c r="N48" s="60">
        <v>1.1399832899999998</v>
      </c>
      <c r="O48" s="61">
        <v>1.1456277156000001</v>
      </c>
      <c r="P48" s="60">
        <v>1.1476836899999998</v>
      </c>
      <c r="Q48" s="36">
        <v>1.1486675375999997</v>
      </c>
      <c r="R48" s="23">
        <v>1.1428233719999996</v>
      </c>
      <c r="S48" s="36">
        <v>1.1456491223999998</v>
      </c>
      <c r="T48" s="23">
        <v>1.1458129319999997</v>
      </c>
      <c r="U48" s="36">
        <v>1.1486460744</v>
      </c>
      <c r="V48" s="23">
        <v>1.142802018</v>
      </c>
      <c r="W48" s="36">
        <v>1.1466766679999996</v>
      </c>
      <c r="X48" s="23">
        <v>1.1496763079999999</v>
      </c>
      <c r="Y48" s="36">
        <v>1.1438270099999999</v>
      </c>
      <c r="Z48" s="23">
        <v>1.146655242</v>
      </c>
      <c r="AA48" s="9">
        <f t="shared" si="7"/>
        <v>1.0720227457244169</v>
      </c>
      <c r="AB48" s="1">
        <f t="shared" si="8"/>
        <v>-7.2274572441699547E-4</v>
      </c>
      <c r="AC48" s="9">
        <f t="shared" si="9"/>
        <v>-1.2562941176470499E-2</v>
      </c>
      <c r="AD48" s="2">
        <f t="shared" si="4"/>
        <v>5.2236138216304755E-7</v>
      </c>
      <c r="AE48" s="45">
        <f t="shared" si="4"/>
        <v>1.5782749100345798E-4</v>
      </c>
      <c r="AF48" s="3">
        <f t="shared" si="10"/>
        <v>-6.7464363335853223E-4</v>
      </c>
      <c r="AG48" s="17">
        <f t="shared" si="5"/>
        <v>6.7464363335853223E-4</v>
      </c>
      <c r="AH48" s="5">
        <f t="shared" si="6"/>
        <v>6.746436333585322E-2</v>
      </c>
    </row>
    <row r="49" spans="2:34" x14ac:dyDescent="0.3">
      <c r="B49" s="9" t="s">
        <v>35</v>
      </c>
      <c r="C49" s="54">
        <v>1.0702</v>
      </c>
      <c r="D49" s="55">
        <v>1.0680000000000001</v>
      </c>
      <c r="E49" s="54">
        <v>1.0727</v>
      </c>
      <c r="F49" s="55">
        <v>1.0676000000000001</v>
      </c>
      <c r="G49" s="58">
        <v>1.0716600000000001</v>
      </c>
      <c r="H49" s="59">
        <v>1.0736000000000001</v>
      </c>
      <c r="I49" s="58">
        <v>1.0682199999999999</v>
      </c>
      <c r="J49" s="59">
        <v>1.0703</v>
      </c>
      <c r="K49" s="54">
        <v>1.0702</v>
      </c>
      <c r="L49" s="60">
        <v>1.1484551556000002</v>
      </c>
      <c r="M49" s="61">
        <v>1.1526169600000002</v>
      </c>
      <c r="N49" s="60">
        <v>1.1410939683999999</v>
      </c>
      <c r="O49" s="61">
        <v>1.14554209</v>
      </c>
      <c r="P49" s="60">
        <v>1.1453280400000001</v>
      </c>
      <c r="Q49" s="36">
        <v>1.1505341760000001</v>
      </c>
      <c r="R49" s="23">
        <v>1.1447686452000001</v>
      </c>
      <c r="S49" s="36">
        <v>1.1469976980000001</v>
      </c>
      <c r="T49" s="23">
        <v>1.146840992</v>
      </c>
      <c r="U49" s="36">
        <v>1.1490740800000001</v>
      </c>
      <c r="V49" s="23">
        <v>1.143315866</v>
      </c>
      <c r="W49" s="36">
        <v>1.146890532</v>
      </c>
      <c r="X49" s="23">
        <v>1.1489667200000002</v>
      </c>
      <c r="Y49" s="36">
        <v>1.143209044</v>
      </c>
      <c r="Z49" s="23">
        <v>1.1454350600000001</v>
      </c>
      <c r="AA49" s="9">
        <f t="shared" si="7"/>
        <v>1.0691771982108245</v>
      </c>
      <c r="AB49" s="1">
        <f t="shared" si="8"/>
        <v>1.0228017891755758E-3</v>
      </c>
      <c r="AC49" s="9">
        <f t="shared" si="9"/>
        <v>-1.3662941176470378E-2</v>
      </c>
      <c r="AD49" s="2">
        <f t="shared" si="4"/>
        <v>1.0461234999407591E-6</v>
      </c>
      <c r="AE49" s="45">
        <f t="shared" si="4"/>
        <v>1.8667596159168976E-4</v>
      </c>
      <c r="AF49" s="3">
        <f t="shared" si="10"/>
        <v>9.5571088504538943E-4</v>
      </c>
      <c r="AG49" s="17">
        <f t="shared" si="5"/>
        <v>9.5571088504538943E-4</v>
      </c>
      <c r="AH49" s="5">
        <f t="shared" si="6"/>
        <v>9.5571088504538937E-2</v>
      </c>
    </row>
    <row r="50" spans="2:34" x14ac:dyDescent="0.3">
      <c r="B50" s="9" t="s">
        <v>36</v>
      </c>
      <c r="C50" s="54">
        <v>1.0679000000000001</v>
      </c>
      <c r="D50" s="55">
        <v>1.0712999999999999</v>
      </c>
      <c r="E50" s="54">
        <v>1.0718000000000001</v>
      </c>
      <c r="F50" s="55">
        <v>1.0666</v>
      </c>
      <c r="G50" s="58">
        <v>1.0721999999999998</v>
      </c>
      <c r="H50" s="59">
        <v>1.0743200000000002</v>
      </c>
      <c r="I50" s="58">
        <v>1.06938</v>
      </c>
      <c r="J50" s="59">
        <v>1.0715600000000001</v>
      </c>
      <c r="K50" s="54">
        <v>1.0679000000000001</v>
      </c>
      <c r="L50" s="60">
        <v>1.1496128399999996</v>
      </c>
      <c r="M50" s="61">
        <v>1.1541634624000003</v>
      </c>
      <c r="N50" s="60">
        <v>1.1435735843999999</v>
      </c>
      <c r="O50" s="61">
        <v>1.1482408336000001</v>
      </c>
      <c r="P50" s="60">
        <v>1.1404104100000001</v>
      </c>
      <c r="Q50" s="36">
        <v>1.151885904</v>
      </c>
      <c r="R50" s="23">
        <v>1.1465892359999998</v>
      </c>
      <c r="S50" s="36">
        <v>1.1489266319999998</v>
      </c>
      <c r="T50" s="23">
        <v>1.1488563216000001</v>
      </c>
      <c r="U50" s="36">
        <v>1.1511983392000003</v>
      </c>
      <c r="V50" s="23">
        <v>1.1459048328000001</v>
      </c>
      <c r="W50" s="36">
        <v>1.14500238</v>
      </c>
      <c r="X50" s="23">
        <v>1.1472663280000002</v>
      </c>
      <c r="Y50" s="36">
        <v>1.1419909020000001</v>
      </c>
      <c r="Z50" s="23">
        <v>1.1443189240000002</v>
      </c>
      <c r="AA50" s="9">
        <f t="shared" si="7"/>
        <v>1.0718742498412737</v>
      </c>
      <c r="AB50" s="1">
        <f t="shared" si="8"/>
        <v>-3.9742498412735916E-3</v>
      </c>
      <c r="AC50" s="9">
        <f t="shared" si="9"/>
        <v>-1.5962941176470347E-2</v>
      </c>
      <c r="AD50" s="2">
        <f t="shared" si="4"/>
        <v>1.5794661800863166E-5</v>
      </c>
      <c r="AE50" s="45">
        <f t="shared" si="4"/>
        <v>2.548154910034525E-4</v>
      </c>
      <c r="AF50" s="3">
        <f t="shared" si="10"/>
        <v>-3.7215561768644922E-3</v>
      </c>
      <c r="AG50" s="17">
        <f t="shared" si="5"/>
        <v>3.7215561768644922E-3</v>
      </c>
      <c r="AH50" s="5">
        <f t="shared" si="6"/>
        <v>0.37215561768644922</v>
      </c>
    </row>
    <row r="51" spans="2:34" x14ac:dyDescent="0.3">
      <c r="B51" s="9" t="s">
        <v>37</v>
      </c>
      <c r="C51" s="54">
        <v>1.0712999999999999</v>
      </c>
      <c r="D51" s="55">
        <v>1.0734999999999999</v>
      </c>
      <c r="E51" s="54">
        <v>1.0745</v>
      </c>
      <c r="F51" s="55">
        <v>1.069</v>
      </c>
      <c r="G51" s="58">
        <v>1.0721800000000001</v>
      </c>
      <c r="H51" s="59">
        <v>1.0746599999999999</v>
      </c>
      <c r="I51" s="58">
        <v>1.06976</v>
      </c>
      <c r="J51" s="59">
        <v>1.07206</v>
      </c>
      <c r="K51" s="54">
        <v>1.0712999999999999</v>
      </c>
      <c r="L51" s="60">
        <v>1.1495699524000003</v>
      </c>
      <c r="M51" s="61">
        <v>1.1548941155999999</v>
      </c>
      <c r="N51" s="60">
        <v>1.1443864576</v>
      </c>
      <c r="O51" s="61">
        <v>1.1493126436000001</v>
      </c>
      <c r="P51" s="60">
        <v>1.1476836899999998</v>
      </c>
      <c r="Q51" s="36">
        <v>1.1522289588000001</v>
      </c>
      <c r="R51" s="23">
        <v>1.1469752768000001</v>
      </c>
      <c r="S51" s="36">
        <v>1.1494412908000002</v>
      </c>
      <c r="T51" s="23">
        <v>1.1496282816000001</v>
      </c>
      <c r="U51" s="36">
        <v>1.1520999995999999</v>
      </c>
      <c r="V51" s="23">
        <v>1.1468469056000001</v>
      </c>
      <c r="W51" s="36">
        <v>1.1486264340000001</v>
      </c>
      <c r="X51" s="23">
        <v>1.1512832579999999</v>
      </c>
      <c r="Y51" s="36">
        <v>1.1460338880000001</v>
      </c>
      <c r="Z51" s="23">
        <v>1.1484978779999999</v>
      </c>
      <c r="AA51" s="9">
        <f t="shared" si="7"/>
        <v>1.0734805627525574</v>
      </c>
      <c r="AB51" s="1">
        <f t="shared" si="8"/>
        <v>-2.1805627525575133E-3</v>
      </c>
      <c r="AC51" s="9">
        <f t="shared" si="9"/>
        <v>-1.2562941176470499E-2</v>
      </c>
      <c r="AD51" s="2">
        <f t="shared" si="4"/>
        <v>4.754853917841199E-6</v>
      </c>
      <c r="AE51" s="45">
        <f t="shared" si="4"/>
        <v>1.5782749100345798E-4</v>
      </c>
      <c r="AF51" s="3">
        <f t="shared" si="10"/>
        <v>-2.0354361547255798E-3</v>
      </c>
      <c r="AG51" s="17">
        <f t="shared" si="5"/>
        <v>2.0354361547255798E-3</v>
      </c>
      <c r="AH51" s="5">
        <f t="shared" si="6"/>
        <v>0.20354361547255798</v>
      </c>
    </row>
    <row r="52" spans="2:34" x14ac:dyDescent="0.3">
      <c r="B52" s="9" t="s">
        <v>38</v>
      </c>
      <c r="C52" s="54">
        <v>1.0731999999999999</v>
      </c>
      <c r="D52" s="55">
        <v>1.0688</v>
      </c>
      <c r="E52" s="54">
        <v>1.0747</v>
      </c>
      <c r="F52" s="55">
        <v>1.0683</v>
      </c>
      <c r="G52" s="58">
        <v>1.07246</v>
      </c>
      <c r="H52" s="59">
        <v>1.0745</v>
      </c>
      <c r="I52" s="58">
        <v>1.06982</v>
      </c>
      <c r="J52" s="59">
        <v>1.0721000000000001</v>
      </c>
      <c r="K52" s="54">
        <v>1.0731999999999999</v>
      </c>
      <c r="L52" s="60">
        <v>1.1501704516</v>
      </c>
      <c r="M52" s="61">
        <v>1.15455025</v>
      </c>
      <c r="N52" s="60">
        <v>1.1445148324000001</v>
      </c>
      <c r="O52" s="61">
        <v>1.1493984100000001</v>
      </c>
      <c r="P52" s="60">
        <v>1.1517582399999999</v>
      </c>
      <c r="Q52" s="36">
        <v>1.1523582699999999</v>
      </c>
      <c r="R52" s="23">
        <v>1.1473391572</v>
      </c>
      <c r="S52" s="36">
        <v>1.149784366</v>
      </c>
      <c r="T52" s="23">
        <v>1.14952159</v>
      </c>
      <c r="U52" s="36">
        <v>1.15197145</v>
      </c>
      <c r="V52" s="23">
        <v>1.1469540220000001</v>
      </c>
      <c r="W52" s="36">
        <v>1.1509640719999998</v>
      </c>
      <c r="X52" s="23">
        <v>1.1531533999999999</v>
      </c>
      <c r="Y52" s="36">
        <v>1.1481308239999999</v>
      </c>
      <c r="Z52" s="23">
        <v>1.15057772</v>
      </c>
      <c r="AA52" s="9">
        <f t="shared" si="7"/>
        <v>1.0728944495658541</v>
      </c>
      <c r="AB52" s="1">
        <f t="shared" si="8"/>
        <v>3.0555043414581817E-4</v>
      </c>
      <c r="AC52" s="9">
        <f t="shared" si="9"/>
        <v>-1.0662941176470486E-2</v>
      </c>
      <c r="AD52" s="2">
        <f t="shared" si="4"/>
        <v>9.3361067806697969E-8</v>
      </c>
      <c r="AE52" s="45">
        <f t="shared" si="4"/>
        <v>1.136983145328698E-4</v>
      </c>
      <c r="AF52" s="3">
        <f>AB52/K52</f>
        <v>2.8470968518991632E-4</v>
      </c>
      <c r="AG52" s="17">
        <f t="shared" si="5"/>
        <v>2.8470968518991632E-4</v>
      </c>
      <c r="AH52" s="5">
        <f t="shared" si="6"/>
        <v>2.8470968518991634E-2</v>
      </c>
    </row>
    <row r="53" spans="2:34" x14ac:dyDescent="0.3">
      <c r="B53" s="9" t="s">
        <v>39</v>
      </c>
      <c r="C53" s="54">
        <v>1.0690999999999999</v>
      </c>
      <c r="D53" s="55">
        <v>1.0702</v>
      </c>
      <c r="E53" s="54">
        <v>1.0721000000000001</v>
      </c>
      <c r="F53" s="55">
        <v>1.0669999999999999</v>
      </c>
      <c r="G53" s="58">
        <v>1.0731600000000001</v>
      </c>
      <c r="H53" s="59">
        <v>1.075</v>
      </c>
      <c r="I53" s="58">
        <v>1.06978</v>
      </c>
      <c r="J53" s="59">
        <v>1.0722799999999999</v>
      </c>
      <c r="K53" s="54">
        <v>1.0690999999999999</v>
      </c>
      <c r="L53" s="60">
        <v>1.1516723856000002</v>
      </c>
      <c r="M53" s="61">
        <v>1.1556249999999999</v>
      </c>
      <c r="N53" s="60">
        <v>1.1444292483999998</v>
      </c>
      <c r="O53" s="61">
        <v>1.1497843983999998</v>
      </c>
      <c r="P53" s="60">
        <v>1.1429748099999999</v>
      </c>
      <c r="Q53" s="36">
        <v>1.1536470000000001</v>
      </c>
      <c r="R53" s="23">
        <v>1.1480451048</v>
      </c>
      <c r="S53" s="36">
        <v>1.1507280047999999</v>
      </c>
      <c r="T53" s="23">
        <v>1.1500134999999998</v>
      </c>
      <c r="U53" s="36">
        <v>1.1527009999999998</v>
      </c>
      <c r="V53" s="23">
        <v>1.1471036983999998</v>
      </c>
      <c r="W53" s="36">
        <v>1.147315356</v>
      </c>
      <c r="X53" s="23">
        <v>1.1492825</v>
      </c>
      <c r="Y53" s="36">
        <v>1.1437017979999999</v>
      </c>
      <c r="Z53" s="23">
        <v>1.1463745479999998</v>
      </c>
      <c r="AA53" s="9">
        <f t="shared" ref="AA53:AA116" si="11">J$177+(K$177*G53)+(L$177*H53)+(M$177*I53)+(N$177*J53)</f>
        <v>1.0717385590317428</v>
      </c>
      <c r="AB53" s="1">
        <f t="shared" si="8"/>
        <v>-2.6385590317428154E-3</v>
      </c>
      <c r="AC53" s="9">
        <f t="shared" ref="AC53:AC116" si="12">K53-O$177</f>
        <v>-1.4762941176470479E-2</v>
      </c>
      <c r="AD53" s="2">
        <f t="shared" si="4"/>
        <v>6.9619937639915833E-6</v>
      </c>
      <c r="AE53" s="45">
        <f t="shared" si="4"/>
        <v>2.1794443217992756E-4</v>
      </c>
      <c r="AF53" s="3">
        <f>AB53/K53</f>
        <v>-2.468018924088313E-3</v>
      </c>
      <c r="AG53" s="17">
        <f>ABS(AF53)</f>
        <v>2.468018924088313E-3</v>
      </c>
      <c r="AH53" s="5">
        <f t="shared" ref="AH53:AH116" si="13">AG53*100</f>
        <v>0.2468018924088313</v>
      </c>
    </row>
    <row r="54" spans="2:34" x14ac:dyDescent="0.3">
      <c r="B54" s="9" t="s">
        <v>40</v>
      </c>
      <c r="C54" s="54">
        <v>1.07</v>
      </c>
      <c r="D54" s="55">
        <v>1.0745</v>
      </c>
      <c r="E54" s="54">
        <v>1.0749</v>
      </c>
      <c r="F54" s="55">
        <v>1.0702</v>
      </c>
      <c r="G54" s="58">
        <v>1.0744399999999998</v>
      </c>
      <c r="H54" s="59">
        <v>1.07636</v>
      </c>
      <c r="I54" s="58">
        <v>1.0703999999999998</v>
      </c>
      <c r="J54" s="59">
        <v>1.07298</v>
      </c>
      <c r="K54" s="54">
        <v>1.07</v>
      </c>
      <c r="L54" s="60">
        <v>1.1544213135999997</v>
      </c>
      <c r="M54" s="61">
        <v>1.1585508495999999</v>
      </c>
      <c r="N54" s="60">
        <v>1.1457561599999995</v>
      </c>
      <c r="O54" s="61">
        <v>1.1512860804</v>
      </c>
      <c r="P54" s="60">
        <v>1.1449</v>
      </c>
      <c r="Q54" s="36">
        <v>1.1564842383999998</v>
      </c>
      <c r="R54" s="23">
        <v>1.1500805759999997</v>
      </c>
      <c r="S54" s="36">
        <v>1.1528526311999998</v>
      </c>
      <c r="T54" s="23">
        <v>1.1521357439999997</v>
      </c>
      <c r="U54" s="36">
        <v>1.1549127528000001</v>
      </c>
      <c r="V54" s="23">
        <v>1.1485177919999998</v>
      </c>
      <c r="W54" s="36">
        <v>1.1496507999999999</v>
      </c>
      <c r="X54" s="23">
        <v>1.1517052000000001</v>
      </c>
      <c r="Y54" s="36">
        <v>1.1453279999999999</v>
      </c>
      <c r="Z54" s="23">
        <v>1.1480886000000001</v>
      </c>
      <c r="AA54" s="9">
        <f t="shared" si="11"/>
        <v>1.0710741434275852</v>
      </c>
      <c r="AB54" s="1">
        <f t="shared" si="8"/>
        <v>-1.0741434275851613E-3</v>
      </c>
      <c r="AC54" s="9">
        <f t="shared" si="12"/>
        <v>-1.3862941176470356E-2</v>
      </c>
      <c r="AD54" s="2">
        <f t="shared" ref="AD54:AE117" si="14">AB54^2</f>
        <v>1.1537841030243987E-6</v>
      </c>
      <c r="AE54" s="45">
        <f t="shared" si="14"/>
        <v>1.921811380622773E-4</v>
      </c>
      <c r="AF54" s="3">
        <f t="shared" ref="AF54:AF117" si="15">AB54/K54</f>
        <v>-1.0038723622291226E-3</v>
      </c>
      <c r="AG54" s="17">
        <f t="shared" ref="AG54:AG117" si="16">ABS(AF54)</f>
        <v>1.0038723622291226E-3</v>
      </c>
      <c r="AH54" s="5">
        <f t="shared" si="13"/>
        <v>0.10038723622291226</v>
      </c>
    </row>
    <row r="55" spans="2:34" x14ac:dyDescent="0.3">
      <c r="B55" s="9" t="s">
        <v>41</v>
      </c>
      <c r="C55" s="54">
        <v>1.0742</v>
      </c>
      <c r="D55" s="55">
        <v>1.0740000000000001</v>
      </c>
      <c r="E55" s="54">
        <v>1.0753999999999999</v>
      </c>
      <c r="F55" s="55">
        <v>1.0724</v>
      </c>
      <c r="G55" s="58">
        <v>1.0744800000000001</v>
      </c>
      <c r="H55" s="59">
        <v>1.0783400000000001</v>
      </c>
      <c r="I55" s="58">
        <v>1.0706</v>
      </c>
      <c r="J55" s="59">
        <v>1.0742800000000001</v>
      </c>
      <c r="K55" s="54">
        <v>1.0742</v>
      </c>
      <c r="L55" s="60">
        <v>1.1545072704000001</v>
      </c>
      <c r="M55" s="61">
        <v>1.1628171556000002</v>
      </c>
      <c r="N55" s="60">
        <v>1.1461843599999999</v>
      </c>
      <c r="O55" s="61">
        <v>1.1540775184000003</v>
      </c>
      <c r="P55" s="60">
        <v>1.1539056400000001</v>
      </c>
      <c r="Q55" s="36">
        <v>1.1586547632000002</v>
      </c>
      <c r="R55" s="23">
        <v>1.1503382880000002</v>
      </c>
      <c r="S55" s="36">
        <v>1.1542923744000002</v>
      </c>
      <c r="T55" s="23">
        <v>1.154470804</v>
      </c>
      <c r="U55" s="36">
        <v>1.1584390952000003</v>
      </c>
      <c r="V55" s="23">
        <v>1.1501241680000001</v>
      </c>
      <c r="W55" s="36">
        <v>1.1542064160000001</v>
      </c>
      <c r="X55" s="23">
        <v>1.1583528280000002</v>
      </c>
      <c r="Y55" s="36">
        <v>1.1500385200000001</v>
      </c>
      <c r="Z55" s="23">
        <v>1.1539915760000001</v>
      </c>
      <c r="AA55" s="9">
        <f t="shared" si="11"/>
        <v>1.0748277968906708</v>
      </c>
      <c r="AB55" s="1">
        <f t="shared" si="8"/>
        <v>-6.2779689067071764E-4</v>
      </c>
      <c r="AC55" s="9">
        <f t="shared" si="12"/>
        <v>-9.6629411764703743E-3</v>
      </c>
      <c r="AD55" s="2">
        <f t="shared" si="14"/>
        <v>3.94128935935821E-7</v>
      </c>
      <c r="AE55" s="45">
        <f t="shared" si="14"/>
        <v>9.3372432179926666E-5</v>
      </c>
      <c r="AF55" s="3">
        <f t="shared" si="15"/>
        <v>-5.8443203376533012E-4</v>
      </c>
      <c r="AG55" s="17">
        <f t="shared" si="16"/>
        <v>5.8443203376533012E-4</v>
      </c>
      <c r="AH55" s="5">
        <f t="shared" si="13"/>
        <v>5.8443203376533012E-2</v>
      </c>
    </row>
    <row r="56" spans="2:34" x14ac:dyDescent="0.3">
      <c r="B56" s="9" t="s">
        <v>42</v>
      </c>
      <c r="C56" s="54">
        <v>1.0738000000000001</v>
      </c>
      <c r="D56" s="55">
        <v>1.0733999999999999</v>
      </c>
      <c r="E56" s="54">
        <v>1.0762</v>
      </c>
      <c r="F56" s="55">
        <v>1.0709</v>
      </c>
      <c r="G56" s="58">
        <v>1.0751000000000002</v>
      </c>
      <c r="H56" s="59">
        <v>1.0786</v>
      </c>
      <c r="I56" s="58">
        <v>1.0708</v>
      </c>
      <c r="J56" s="59">
        <v>1.0743</v>
      </c>
      <c r="K56" s="54">
        <v>1.0738000000000001</v>
      </c>
      <c r="L56" s="60">
        <v>1.1558400100000004</v>
      </c>
      <c r="M56" s="61">
        <v>1.16337796</v>
      </c>
      <c r="N56" s="60">
        <v>1.1466126399999998</v>
      </c>
      <c r="O56" s="61">
        <v>1.1541204900000002</v>
      </c>
      <c r="P56" s="60">
        <v>1.1530464400000002</v>
      </c>
      <c r="Q56" s="36">
        <v>1.1596028600000001</v>
      </c>
      <c r="R56" s="23">
        <v>1.1512170800000001</v>
      </c>
      <c r="S56" s="36">
        <v>1.1549799300000003</v>
      </c>
      <c r="T56" s="23">
        <v>1.1549648800000001</v>
      </c>
      <c r="U56" s="36">
        <v>1.15873998</v>
      </c>
      <c r="V56" s="23">
        <v>1.15036044</v>
      </c>
      <c r="W56" s="36">
        <v>1.1544423800000003</v>
      </c>
      <c r="X56" s="23">
        <v>1.1582006800000002</v>
      </c>
      <c r="Y56" s="36">
        <v>1.1498250400000001</v>
      </c>
      <c r="Z56" s="23">
        <v>1.1535833400000002</v>
      </c>
      <c r="AA56" s="9">
        <f t="shared" si="11"/>
        <v>1.0735518398313812</v>
      </c>
      <c r="AB56" s="1">
        <f t="shared" si="8"/>
        <v>2.4816016861883838E-4</v>
      </c>
      <c r="AC56" s="9">
        <f t="shared" si="12"/>
        <v>-1.006294117647033E-2</v>
      </c>
      <c r="AD56" s="2">
        <f t="shared" si="14"/>
        <v>6.1583469288930294E-8</v>
      </c>
      <c r="AE56" s="45">
        <f t="shared" si="14"/>
        <v>1.0126278512110208E-4</v>
      </c>
      <c r="AF56" s="3">
        <f t="shared" si="15"/>
        <v>2.3110464576163006E-4</v>
      </c>
      <c r="AG56" s="17">
        <f t="shared" si="16"/>
        <v>2.3110464576163006E-4</v>
      </c>
      <c r="AH56" s="5">
        <f t="shared" si="13"/>
        <v>2.3110464576163007E-2</v>
      </c>
    </row>
    <row r="57" spans="2:34" x14ac:dyDescent="0.3">
      <c r="B57" s="9" t="s">
        <v>43</v>
      </c>
      <c r="C57" s="54">
        <v>1.0733999999999999</v>
      </c>
      <c r="D57" s="55">
        <v>1.0702</v>
      </c>
      <c r="E57" s="54">
        <v>1.0739000000000001</v>
      </c>
      <c r="F57" s="55">
        <v>1.0686</v>
      </c>
      <c r="G57" s="58">
        <v>1.0770000000000002</v>
      </c>
      <c r="H57" s="59">
        <v>1.0797599999999998</v>
      </c>
      <c r="I57" s="58">
        <v>1.07172</v>
      </c>
      <c r="J57" s="59">
        <v>1.0748799999999998</v>
      </c>
      <c r="K57" s="54">
        <v>1.0733999999999999</v>
      </c>
      <c r="L57" s="60">
        <v>1.1599290000000004</v>
      </c>
      <c r="M57" s="61">
        <v>1.1658816575999997</v>
      </c>
      <c r="N57" s="60">
        <v>1.1485837584</v>
      </c>
      <c r="O57" s="61">
        <v>1.1553670143999997</v>
      </c>
      <c r="P57" s="60">
        <v>1.1521875599999998</v>
      </c>
      <c r="Q57" s="36">
        <v>1.1629015199999999</v>
      </c>
      <c r="R57" s="23">
        <v>1.1542424400000002</v>
      </c>
      <c r="S57" s="36">
        <v>1.1576457600000001</v>
      </c>
      <c r="T57" s="23">
        <v>1.1572003871999998</v>
      </c>
      <c r="U57" s="36">
        <v>1.1606124287999997</v>
      </c>
      <c r="V57" s="23">
        <v>1.1519703935999999</v>
      </c>
      <c r="W57" s="36">
        <v>1.1560518000000002</v>
      </c>
      <c r="X57" s="23">
        <v>1.1590143839999998</v>
      </c>
      <c r="Y57" s="36">
        <v>1.1503842479999999</v>
      </c>
      <c r="Z57" s="23">
        <v>1.1537761919999998</v>
      </c>
      <c r="AA57" s="9">
        <f t="shared" si="11"/>
        <v>1.0712080740660841</v>
      </c>
      <c r="AB57" s="1">
        <f t="shared" si="8"/>
        <v>2.191925933915817E-3</v>
      </c>
      <c r="AC57" s="9">
        <f t="shared" si="12"/>
        <v>-1.0462941176470508E-2</v>
      </c>
      <c r="AD57" s="2">
        <f t="shared" si="14"/>
        <v>4.8045392997727268E-6</v>
      </c>
      <c r="AE57" s="45">
        <f t="shared" si="14"/>
        <v>1.0947313806228207E-4</v>
      </c>
      <c r="AF57" s="3">
        <f t="shared" si="15"/>
        <v>2.0420401843821664E-3</v>
      </c>
      <c r="AG57" s="17">
        <f t="shared" si="16"/>
        <v>2.0420401843821664E-3</v>
      </c>
      <c r="AH57" s="5">
        <f t="shared" si="13"/>
        <v>0.20420401843821664</v>
      </c>
    </row>
    <row r="58" spans="2:34" x14ac:dyDescent="0.3">
      <c r="B58" s="9" t="s">
        <v>44</v>
      </c>
      <c r="C58" s="54">
        <v>1.07</v>
      </c>
      <c r="D58" s="55">
        <v>1.0737000000000001</v>
      </c>
      <c r="E58" s="54">
        <v>1.0746</v>
      </c>
      <c r="F58" s="55">
        <v>1.0668</v>
      </c>
      <c r="G58" s="58">
        <v>1.08006</v>
      </c>
      <c r="H58" s="59">
        <v>1.0829</v>
      </c>
      <c r="I58" s="58">
        <v>1.0743400000000001</v>
      </c>
      <c r="J58" s="59">
        <v>1.0768800000000001</v>
      </c>
      <c r="K58" s="54">
        <v>1.07</v>
      </c>
      <c r="L58" s="60">
        <v>1.1665296036000001</v>
      </c>
      <c r="M58" s="61">
        <v>1.1726724099999999</v>
      </c>
      <c r="N58" s="60">
        <v>1.1542064356000001</v>
      </c>
      <c r="O58" s="61">
        <v>1.1596705344000002</v>
      </c>
      <c r="P58" s="60">
        <v>1.1449</v>
      </c>
      <c r="Q58" s="36">
        <v>1.1695969740000001</v>
      </c>
      <c r="R58" s="23">
        <v>1.1603516604000002</v>
      </c>
      <c r="S58" s="36">
        <v>1.1630950128000002</v>
      </c>
      <c r="T58" s="23">
        <v>1.163402786</v>
      </c>
      <c r="U58" s="36">
        <v>1.166153352</v>
      </c>
      <c r="V58" s="23">
        <v>1.1569352592000002</v>
      </c>
      <c r="W58" s="36">
        <v>1.1556642000000001</v>
      </c>
      <c r="X58" s="23">
        <v>1.158703</v>
      </c>
      <c r="Y58" s="36">
        <v>1.1495438000000002</v>
      </c>
      <c r="Z58" s="23">
        <v>1.1522616000000001</v>
      </c>
      <c r="AA58" s="9">
        <f t="shared" si="11"/>
        <v>1.0710859470109635</v>
      </c>
      <c r="AB58" s="1">
        <f t="shared" si="8"/>
        <v>-1.0859470109634284E-3</v>
      </c>
      <c r="AC58" s="9">
        <f t="shared" si="12"/>
        <v>-1.3862941176470356E-2</v>
      </c>
      <c r="AD58" s="2">
        <f t="shared" si="14"/>
        <v>1.1792809106204045E-6</v>
      </c>
      <c r="AE58" s="45">
        <f t="shared" si="14"/>
        <v>1.921811380622773E-4</v>
      </c>
      <c r="AF58" s="3">
        <f t="shared" si="15"/>
        <v>-1.0149037485639517E-3</v>
      </c>
      <c r="AG58" s="17">
        <f t="shared" si="16"/>
        <v>1.0149037485639517E-3</v>
      </c>
      <c r="AH58" s="5">
        <f t="shared" si="13"/>
        <v>0.10149037485639517</v>
      </c>
    </row>
    <row r="59" spans="2:34" x14ac:dyDescent="0.3">
      <c r="B59" s="9" t="s">
        <v>90</v>
      </c>
      <c r="C59" s="54">
        <v>1.0734999999999999</v>
      </c>
      <c r="D59" s="55">
        <v>1.0809</v>
      </c>
      <c r="E59" s="54">
        <v>1.0817000000000001</v>
      </c>
      <c r="F59" s="55">
        <v>1.0732999999999999</v>
      </c>
      <c r="G59" s="58">
        <v>1.0812599999999999</v>
      </c>
      <c r="H59" s="59">
        <v>1.0846199999999999</v>
      </c>
      <c r="I59" s="58">
        <v>1.0769199999999999</v>
      </c>
      <c r="J59" s="59">
        <v>1.0799400000000001</v>
      </c>
      <c r="K59" s="54">
        <v>1.0734999999999999</v>
      </c>
      <c r="L59" s="60">
        <v>1.1691231875999997</v>
      </c>
      <c r="M59" s="61">
        <v>1.1764005443999999</v>
      </c>
      <c r="N59" s="60">
        <v>1.1597566863999997</v>
      </c>
      <c r="O59" s="61">
        <v>1.1662704036000002</v>
      </c>
      <c r="P59" s="60">
        <v>1.1524022499999997</v>
      </c>
      <c r="Q59" s="36">
        <v>1.1727562211999998</v>
      </c>
      <c r="R59" s="23">
        <v>1.1644305191999997</v>
      </c>
      <c r="S59" s="36">
        <v>1.1676959244</v>
      </c>
      <c r="T59" s="23">
        <v>1.1680489703999999</v>
      </c>
      <c r="U59" s="36">
        <v>1.1713245228</v>
      </c>
      <c r="V59" s="23">
        <v>1.1630089848</v>
      </c>
      <c r="W59" s="36">
        <v>1.1607326099999997</v>
      </c>
      <c r="X59" s="23">
        <v>1.1643395699999999</v>
      </c>
      <c r="Y59" s="36">
        <v>1.1560736199999997</v>
      </c>
      <c r="Z59" s="23">
        <v>1.1593155900000001</v>
      </c>
      <c r="AA59" s="9">
        <f t="shared" si="11"/>
        <v>1.0777584589146958</v>
      </c>
      <c r="AB59" s="1">
        <f t="shared" si="8"/>
        <v>-4.2584589146958951E-3</v>
      </c>
      <c r="AC59" s="9">
        <f t="shared" si="12"/>
        <v>-1.0362941176470519E-2</v>
      </c>
      <c r="AD59" s="2">
        <f t="shared" si="14"/>
        <v>1.8134472328152941E-5</v>
      </c>
      <c r="AE59" s="45">
        <f t="shared" si="14"/>
        <v>1.0739054982698819E-4</v>
      </c>
      <c r="AF59" s="3">
        <f t="shared" si="15"/>
        <v>-3.9668923285476436E-3</v>
      </c>
      <c r="AG59" s="17">
        <f t="shared" si="16"/>
        <v>3.9668923285476436E-3</v>
      </c>
      <c r="AH59" s="5">
        <f t="shared" si="13"/>
        <v>0.39668923285476437</v>
      </c>
    </row>
    <row r="60" spans="2:34" x14ac:dyDescent="0.3">
      <c r="B60" s="40">
        <v>45632</v>
      </c>
      <c r="C60" s="54">
        <v>1.0807</v>
      </c>
      <c r="D60" s="55">
        <v>1.0742</v>
      </c>
      <c r="E60" s="54">
        <v>1.0852999999999999</v>
      </c>
      <c r="F60" s="55">
        <v>1.0733999999999999</v>
      </c>
      <c r="G60" s="58">
        <v>1.0840000000000001</v>
      </c>
      <c r="H60" s="59">
        <v>1.0853999999999999</v>
      </c>
      <c r="I60" s="58">
        <v>1.0793200000000001</v>
      </c>
      <c r="J60" s="59">
        <v>1.0811600000000001</v>
      </c>
      <c r="K60" s="54">
        <v>1.0807</v>
      </c>
      <c r="L60" s="60">
        <v>1.1750560000000001</v>
      </c>
      <c r="M60" s="61">
        <v>1.1780931599999998</v>
      </c>
      <c r="N60" s="60">
        <v>1.1649316624000001</v>
      </c>
      <c r="O60" s="61">
        <v>1.1689069456000003</v>
      </c>
      <c r="P60" s="60">
        <v>1.16791249</v>
      </c>
      <c r="Q60" s="36">
        <v>1.1765736</v>
      </c>
      <c r="R60" s="23">
        <v>1.1699828800000001</v>
      </c>
      <c r="S60" s="36">
        <v>1.1719774400000003</v>
      </c>
      <c r="T60" s="23">
        <v>1.1714939280000001</v>
      </c>
      <c r="U60" s="36">
        <v>1.173491064</v>
      </c>
      <c r="V60" s="23">
        <v>1.1669176112000001</v>
      </c>
      <c r="W60" s="36">
        <v>1.1714788</v>
      </c>
      <c r="X60" s="23">
        <v>1.1729917799999998</v>
      </c>
      <c r="Y60" s="36">
        <v>1.166421124</v>
      </c>
      <c r="Z60" s="23">
        <v>1.168409612</v>
      </c>
      <c r="AA60" s="9">
        <f t="shared" si="11"/>
        <v>1.0757540677706849</v>
      </c>
      <c r="AB60" s="1">
        <f t="shared" si="8"/>
        <v>4.9459322293150532E-3</v>
      </c>
      <c r="AC60" s="9">
        <f t="shared" si="12"/>
        <v>-3.1629411764704241E-3</v>
      </c>
      <c r="AD60" s="2">
        <f t="shared" si="14"/>
        <v>2.4462245616977373E-5</v>
      </c>
      <c r="AE60" s="45">
        <f t="shared" si="14"/>
        <v>1.000419688581211E-5</v>
      </c>
      <c r="AF60" s="3">
        <f t="shared" si="15"/>
        <v>4.5766005638151691E-3</v>
      </c>
      <c r="AG60" s="17">
        <f t="shared" si="16"/>
        <v>4.5766005638151691E-3</v>
      </c>
      <c r="AH60" s="5">
        <f t="shared" si="13"/>
        <v>0.45766005638151691</v>
      </c>
    </row>
    <row r="61" spans="2:34" x14ac:dyDescent="0.3">
      <c r="B61" s="40">
        <v>45602</v>
      </c>
      <c r="C61" s="54">
        <v>1.0739000000000001</v>
      </c>
      <c r="D61" s="55">
        <v>1.0765</v>
      </c>
      <c r="E61" s="54">
        <v>1.0774999999999999</v>
      </c>
      <c r="F61" s="55">
        <v>1.0719000000000001</v>
      </c>
      <c r="G61" s="58">
        <v>1.0867800000000001</v>
      </c>
      <c r="H61" s="59">
        <v>1.0882400000000001</v>
      </c>
      <c r="I61" s="58">
        <v>1.0821200000000002</v>
      </c>
      <c r="J61" s="59">
        <v>1.0839400000000001</v>
      </c>
      <c r="K61" s="54">
        <v>1.0739000000000001</v>
      </c>
      <c r="L61" s="60">
        <v>1.1810907684000003</v>
      </c>
      <c r="M61" s="61">
        <v>1.1842662976000002</v>
      </c>
      <c r="N61" s="60">
        <v>1.1709836944000005</v>
      </c>
      <c r="O61" s="61">
        <v>1.1749259236000003</v>
      </c>
      <c r="P61" s="60">
        <v>1.1532612100000001</v>
      </c>
      <c r="Q61" s="36">
        <v>1.1826774672000002</v>
      </c>
      <c r="R61" s="23">
        <v>1.1760263736000003</v>
      </c>
      <c r="S61" s="36">
        <v>1.1780043132000002</v>
      </c>
      <c r="T61" s="23">
        <v>1.1776062688000004</v>
      </c>
      <c r="U61" s="36">
        <v>1.1795868656000001</v>
      </c>
      <c r="V61" s="23">
        <v>1.1729531528000003</v>
      </c>
      <c r="W61" s="36">
        <v>1.1670930420000001</v>
      </c>
      <c r="X61" s="23">
        <v>1.1686609360000002</v>
      </c>
      <c r="Y61" s="36">
        <v>1.1620886680000002</v>
      </c>
      <c r="Z61" s="23">
        <v>1.1640431660000001</v>
      </c>
      <c r="AA61" s="9">
        <f t="shared" si="11"/>
        <v>1.0782906703096808</v>
      </c>
      <c r="AB61" s="1">
        <f t="shared" si="8"/>
        <v>-4.3906703096807664E-3</v>
      </c>
      <c r="AC61" s="9">
        <f t="shared" si="12"/>
        <v>-9.9629411764703413E-3</v>
      </c>
      <c r="AD61" s="2">
        <f t="shared" si="14"/>
        <v>1.9277985768312199E-5</v>
      </c>
      <c r="AE61" s="45">
        <f t="shared" si="14"/>
        <v>9.926019688580823E-5</v>
      </c>
      <c r="AF61" s="3">
        <f t="shared" si="15"/>
        <v>-4.0885280842543684E-3</v>
      </c>
      <c r="AG61" s="17">
        <f t="shared" si="16"/>
        <v>4.0885280842543684E-3</v>
      </c>
      <c r="AH61" s="5">
        <f t="shared" si="13"/>
        <v>0.40885280842543681</v>
      </c>
    </row>
    <row r="62" spans="2:34" x14ac:dyDescent="0.3">
      <c r="B62" s="40">
        <v>45571</v>
      </c>
      <c r="C62" s="54">
        <v>1.0763</v>
      </c>
      <c r="D62" s="55">
        <v>1.0797000000000001</v>
      </c>
      <c r="E62" s="54">
        <v>1.0797000000000001</v>
      </c>
      <c r="F62" s="55">
        <v>1.0731999999999999</v>
      </c>
      <c r="G62" s="58">
        <v>1.0878599999999998</v>
      </c>
      <c r="H62" s="59">
        <v>1.0904</v>
      </c>
      <c r="I62" s="58">
        <v>1.0840000000000001</v>
      </c>
      <c r="J62" s="59">
        <v>1.0867200000000001</v>
      </c>
      <c r="K62" s="54">
        <v>1.0763</v>
      </c>
      <c r="L62" s="60">
        <v>1.1834393795999996</v>
      </c>
      <c r="M62" s="61">
        <v>1.1889721600000001</v>
      </c>
      <c r="N62" s="60">
        <v>1.1750560000000001</v>
      </c>
      <c r="O62" s="61">
        <v>1.1809603584000004</v>
      </c>
      <c r="P62" s="60">
        <v>1.1584216900000002</v>
      </c>
      <c r="Q62" s="36">
        <v>1.1862025439999999</v>
      </c>
      <c r="R62" s="23">
        <v>1.1792402399999999</v>
      </c>
      <c r="S62" s="36">
        <v>1.1821992191999999</v>
      </c>
      <c r="T62" s="23">
        <v>1.1819936000000002</v>
      </c>
      <c r="U62" s="36">
        <v>1.1849594880000003</v>
      </c>
      <c r="V62" s="23">
        <v>1.1780044800000002</v>
      </c>
      <c r="W62" s="36">
        <v>1.1708637179999999</v>
      </c>
      <c r="X62" s="23">
        <v>1.1735975200000002</v>
      </c>
      <c r="Y62" s="36">
        <v>1.1667092000000001</v>
      </c>
      <c r="Z62" s="23">
        <v>1.1696367360000002</v>
      </c>
      <c r="AA62" s="9">
        <f t="shared" si="11"/>
        <v>1.0842485806813593</v>
      </c>
      <c r="AB62" s="1">
        <f t="shared" si="8"/>
        <v>-7.9485806813592852E-3</v>
      </c>
      <c r="AC62" s="9">
        <f t="shared" si="12"/>
        <v>-7.5629411764703836E-3</v>
      </c>
      <c r="AD62" s="2">
        <f t="shared" si="14"/>
        <v>6.3179934848078045E-5</v>
      </c>
      <c r="AE62" s="45">
        <f t="shared" si="14"/>
        <v>5.7198079238751232E-5</v>
      </c>
      <c r="AF62" s="3">
        <f t="shared" si="15"/>
        <v>-7.3850977249459116E-3</v>
      </c>
      <c r="AG62" s="17">
        <f t="shared" si="16"/>
        <v>7.3850977249459116E-3</v>
      </c>
      <c r="AH62" s="5">
        <f t="shared" si="13"/>
        <v>0.73850977249459115</v>
      </c>
    </row>
    <row r="63" spans="2:34" x14ac:dyDescent="0.3">
      <c r="B63" s="40">
        <v>45479</v>
      </c>
      <c r="C63" s="54">
        <v>1.08</v>
      </c>
      <c r="D63" s="55">
        <v>1.089</v>
      </c>
      <c r="E63" s="54">
        <v>1.0903</v>
      </c>
      <c r="F63" s="55">
        <v>1.0799000000000001</v>
      </c>
      <c r="G63" s="58">
        <v>1.0867</v>
      </c>
      <c r="H63" s="59">
        <v>1.0900000000000001</v>
      </c>
      <c r="I63" s="58">
        <v>1.0842399999999999</v>
      </c>
      <c r="J63" s="59">
        <v>1.0875400000000002</v>
      </c>
      <c r="K63" s="54">
        <v>1.08</v>
      </c>
      <c r="L63" s="60">
        <v>1.18091689</v>
      </c>
      <c r="M63" s="61">
        <v>1.1881000000000002</v>
      </c>
      <c r="N63" s="60">
        <v>1.1755763775999997</v>
      </c>
      <c r="O63" s="61">
        <v>1.1827432516000003</v>
      </c>
      <c r="P63" s="60">
        <v>1.1664000000000001</v>
      </c>
      <c r="Q63" s="36">
        <v>1.1845030000000001</v>
      </c>
      <c r="R63" s="23">
        <v>1.1782436079999998</v>
      </c>
      <c r="S63" s="36">
        <v>1.1818297180000001</v>
      </c>
      <c r="T63" s="23">
        <v>1.1818215999999999</v>
      </c>
      <c r="U63" s="36">
        <v>1.1854186000000002</v>
      </c>
      <c r="V63" s="23">
        <v>1.1791543696</v>
      </c>
      <c r="W63" s="36">
        <v>1.1736360000000001</v>
      </c>
      <c r="X63" s="23">
        <v>1.1772000000000002</v>
      </c>
      <c r="Y63" s="36">
        <v>1.1709791999999999</v>
      </c>
      <c r="Z63" s="23">
        <v>1.1745432000000002</v>
      </c>
      <c r="AA63" s="9">
        <f t="shared" si="11"/>
        <v>1.0891611416258229</v>
      </c>
      <c r="AB63" s="1">
        <f t="shared" si="8"/>
        <v>-9.1611416258228218E-3</v>
      </c>
      <c r="AC63" s="9">
        <f t="shared" si="12"/>
        <v>-3.862941176470347E-3</v>
      </c>
      <c r="AD63" s="2">
        <f t="shared" si="14"/>
        <v>8.3926515888383616E-5</v>
      </c>
      <c r="AE63" s="45">
        <f t="shared" si="14"/>
        <v>1.4922314532870109E-5</v>
      </c>
      <c r="AF63" s="3">
        <f t="shared" si="15"/>
        <v>-8.4825385424285374E-3</v>
      </c>
      <c r="AG63" s="17">
        <f t="shared" si="16"/>
        <v>8.4825385424285374E-3</v>
      </c>
      <c r="AH63" s="5">
        <f t="shared" si="13"/>
        <v>0.84825385424285371</v>
      </c>
    </row>
    <row r="64" spans="2:34" x14ac:dyDescent="0.3">
      <c r="B64" s="40">
        <v>45449</v>
      </c>
      <c r="C64" s="54">
        <v>1.0888</v>
      </c>
      <c r="D64" s="55">
        <v>1.0869</v>
      </c>
      <c r="E64" s="54">
        <v>1.0903</v>
      </c>
      <c r="F64" s="55">
        <v>1.0862000000000001</v>
      </c>
      <c r="G64" s="58">
        <v>1.0853600000000001</v>
      </c>
      <c r="H64" s="59">
        <v>1.0888599999999999</v>
      </c>
      <c r="I64" s="58">
        <v>1.0827599999999999</v>
      </c>
      <c r="J64" s="59">
        <v>1.0864199999999999</v>
      </c>
      <c r="K64" s="54">
        <v>1.0888</v>
      </c>
      <c r="L64" s="60">
        <v>1.1780063296000003</v>
      </c>
      <c r="M64" s="61">
        <v>1.1856160995999998</v>
      </c>
      <c r="N64" s="60">
        <v>1.1723692175999998</v>
      </c>
      <c r="O64" s="61">
        <v>1.1803084163999999</v>
      </c>
      <c r="P64" s="60">
        <v>1.1854854399999999</v>
      </c>
      <c r="Q64" s="36">
        <v>1.1818050896000001</v>
      </c>
      <c r="R64" s="23">
        <v>1.1751843936000002</v>
      </c>
      <c r="S64" s="36">
        <v>1.1791568112000002</v>
      </c>
      <c r="T64" s="23">
        <v>1.1789740536</v>
      </c>
      <c r="U64" s="36">
        <v>1.1829592811999998</v>
      </c>
      <c r="V64" s="23">
        <v>1.1763321191999998</v>
      </c>
      <c r="W64" s="36">
        <v>1.181739968</v>
      </c>
      <c r="X64" s="23">
        <v>1.1855507679999999</v>
      </c>
      <c r="Y64" s="36">
        <v>1.1789090879999999</v>
      </c>
      <c r="Z64" s="23">
        <v>1.1828940959999998</v>
      </c>
      <c r="AA64" s="9">
        <f t="shared" si="11"/>
        <v>1.0884656607940104</v>
      </c>
      <c r="AB64" s="1">
        <f t="shared" si="8"/>
        <v>3.3433920598957556E-4</v>
      </c>
      <c r="AC64" s="9">
        <f t="shared" si="12"/>
        <v>4.937058823529572E-3</v>
      </c>
      <c r="AD64" s="2">
        <f t="shared" si="14"/>
        <v>1.1178270466173983E-7</v>
      </c>
      <c r="AE64" s="45">
        <f t="shared" si="14"/>
        <v>2.4374549826991202E-5</v>
      </c>
      <c r="AF64" s="3">
        <f t="shared" si="15"/>
        <v>3.070712766252531E-4</v>
      </c>
      <c r="AG64" s="17">
        <f t="shared" si="16"/>
        <v>3.070712766252531E-4</v>
      </c>
      <c r="AH64" s="5">
        <f t="shared" si="13"/>
        <v>3.070712766252531E-2</v>
      </c>
    </row>
    <row r="65" spans="2:34" x14ac:dyDescent="0.3">
      <c r="B65" s="40">
        <v>45418</v>
      </c>
      <c r="C65" s="54">
        <v>1.0868</v>
      </c>
      <c r="D65" s="55">
        <v>1.0879000000000001</v>
      </c>
      <c r="E65" s="54">
        <v>1.0891999999999999</v>
      </c>
      <c r="F65" s="55">
        <v>1.0853999999999999</v>
      </c>
      <c r="G65" s="58">
        <v>1.0849200000000001</v>
      </c>
      <c r="H65" s="59">
        <v>1.0882400000000001</v>
      </c>
      <c r="I65" s="58">
        <v>1.0816600000000001</v>
      </c>
      <c r="J65" s="59">
        <v>1.0850599999999999</v>
      </c>
      <c r="K65" s="54">
        <v>1.0868</v>
      </c>
      <c r="L65" s="60">
        <v>1.1770514064000002</v>
      </c>
      <c r="M65" s="61">
        <v>1.1842662976000002</v>
      </c>
      <c r="N65" s="60">
        <v>1.1699883556000001</v>
      </c>
      <c r="O65" s="61">
        <v>1.1773552035999999</v>
      </c>
      <c r="P65" s="60">
        <v>1.18113424</v>
      </c>
      <c r="Q65" s="36">
        <v>1.1806533408000002</v>
      </c>
      <c r="R65" s="23">
        <v>1.1735145672000002</v>
      </c>
      <c r="S65" s="36">
        <v>1.1772032952</v>
      </c>
      <c r="T65" s="23">
        <v>1.1771056784000002</v>
      </c>
      <c r="U65" s="36">
        <v>1.1808056944</v>
      </c>
      <c r="V65" s="23">
        <v>1.1736659996000001</v>
      </c>
      <c r="W65" s="36">
        <v>1.1790910560000001</v>
      </c>
      <c r="X65" s="23">
        <v>1.182699232</v>
      </c>
      <c r="Y65" s="36">
        <v>1.175548088</v>
      </c>
      <c r="Z65" s="23">
        <v>1.1792432079999999</v>
      </c>
      <c r="AA65" s="9">
        <f t="shared" si="11"/>
        <v>1.0853365771273622</v>
      </c>
      <c r="AB65" s="1">
        <f t="shared" si="8"/>
        <v>1.4634228726377874E-3</v>
      </c>
      <c r="AC65" s="9">
        <f t="shared" si="12"/>
        <v>2.9370588235295703E-3</v>
      </c>
      <c r="AD65" s="2">
        <f t="shared" si="14"/>
        <v>2.1416065041594335E-6</v>
      </c>
      <c r="AE65" s="45">
        <f t="shared" si="14"/>
        <v>8.6263145328729035E-6</v>
      </c>
      <c r="AF65" s="3">
        <f t="shared" si="15"/>
        <v>1.3465429450108459E-3</v>
      </c>
      <c r="AG65" s="17">
        <f t="shared" si="16"/>
        <v>1.3465429450108459E-3</v>
      </c>
      <c r="AH65" s="5">
        <f t="shared" si="13"/>
        <v>0.1346542945010846</v>
      </c>
    </row>
    <row r="66" spans="2:34" x14ac:dyDescent="0.3">
      <c r="B66" s="40">
        <v>45388</v>
      </c>
      <c r="C66" s="54">
        <v>1.0878000000000001</v>
      </c>
      <c r="D66" s="55">
        <v>1.0904</v>
      </c>
      <c r="E66" s="54">
        <v>1.0916999999999999</v>
      </c>
      <c r="F66" s="55">
        <v>1.0859000000000001</v>
      </c>
      <c r="G66" s="58">
        <v>1.0840400000000001</v>
      </c>
      <c r="H66" s="59">
        <v>1.0876999999999999</v>
      </c>
      <c r="I66" s="58">
        <v>1.0815399999999999</v>
      </c>
      <c r="J66" s="59">
        <v>1.0846</v>
      </c>
      <c r="K66" s="54">
        <v>1.0878000000000001</v>
      </c>
      <c r="L66" s="60">
        <v>1.1751427216000003</v>
      </c>
      <c r="M66" s="61">
        <v>1.1830912899999997</v>
      </c>
      <c r="N66" s="60">
        <v>1.1697287715999998</v>
      </c>
      <c r="O66" s="61">
        <v>1.17635716</v>
      </c>
      <c r="P66" s="60">
        <v>1.1833088400000003</v>
      </c>
      <c r="Q66" s="36">
        <v>1.1791103080000001</v>
      </c>
      <c r="R66" s="23">
        <v>1.1724326216000001</v>
      </c>
      <c r="S66" s="36">
        <v>1.1757497840000002</v>
      </c>
      <c r="T66" s="23">
        <v>1.1763910579999999</v>
      </c>
      <c r="U66" s="36">
        <v>1.1797194199999999</v>
      </c>
      <c r="V66" s="23">
        <v>1.173038284</v>
      </c>
      <c r="W66" s="36">
        <v>1.1792187120000002</v>
      </c>
      <c r="X66" s="23">
        <v>1.1832000599999999</v>
      </c>
      <c r="Y66" s="36">
        <v>1.176499212</v>
      </c>
      <c r="Z66" s="23">
        <v>1.1798278800000002</v>
      </c>
      <c r="AA66" s="9">
        <f t="shared" si="11"/>
        <v>1.0861275013003935</v>
      </c>
      <c r="AB66" s="1">
        <f t="shared" si="8"/>
        <v>1.6724986996066171E-3</v>
      </c>
      <c r="AC66" s="9">
        <f t="shared" si="12"/>
        <v>3.9370588235296822E-3</v>
      </c>
      <c r="AD66" s="2">
        <f t="shared" si="14"/>
        <v>2.7972519001858254E-6</v>
      </c>
      <c r="AE66" s="45">
        <f t="shared" si="14"/>
        <v>1.5500432179932924E-5</v>
      </c>
      <c r="AF66" s="3">
        <f t="shared" si="15"/>
        <v>1.5375056992154965E-3</v>
      </c>
      <c r="AG66" s="17">
        <f t="shared" si="16"/>
        <v>1.5375056992154965E-3</v>
      </c>
      <c r="AH66" s="5">
        <f t="shared" si="13"/>
        <v>0.15375056992154965</v>
      </c>
    </row>
    <row r="67" spans="2:34" x14ac:dyDescent="0.3">
      <c r="B67" s="40">
        <v>45357</v>
      </c>
      <c r="C67" s="54">
        <v>1.0902000000000001</v>
      </c>
      <c r="D67" s="55">
        <v>1.0851</v>
      </c>
      <c r="E67" s="54">
        <v>1.0905</v>
      </c>
      <c r="F67" s="55">
        <v>1.0826</v>
      </c>
      <c r="G67" s="58">
        <v>1.0841000000000001</v>
      </c>
      <c r="H67" s="59">
        <v>1.0869600000000001</v>
      </c>
      <c r="I67" s="58">
        <v>1.0818400000000001</v>
      </c>
      <c r="J67" s="59">
        <v>1.08372</v>
      </c>
      <c r="K67" s="54">
        <v>1.0902000000000001</v>
      </c>
      <c r="L67" s="60">
        <v>1.1752728100000001</v>
      </c>
      <c r="M67" s="61">
        <v>1.1814820416000003</v>
      </c>
      <c r="N67" s="60">
        <v>1.1703777856000004</v>
      </c>
      <c r="O67" s="61">
        <v>1.1744490384000001</v>
      </c>
      <c r="P67" s="60">
        <v>1.18853604</v>
      </c>
      <c r="Q67" s="36">
        <v>1.1783733360000002</v>
      </c>
      <c r="R67" s="23">
        <v>1.1728227440000003</v>
      </c>
      <c r="S67" s="36">
        <v>1.1748608520000001</v>
      </c>
      <c r="T67" s="23">
        <v>1.1759168064000003</v>
      </c>
      <c r="U67" s="36">
        <v>1.1779602912000002</v>
      </c>
      <c r="V67" s="23">
        <v>1.1724116448000002</v>
      </c>
      <c r="W67" s="36">
        <v>1.1818858200000002</v>
      </c>
      <c r="X67" s="23">
        <v>1.1850037920000003</v>
      </c>
      <c r="Y67" s="36">
        <v>1.1794219680000002</v>
      </c>
      <c r="Z67" s="23">
        <v>1.1814715440000001</v>
      </c>
      <c r="AA67" s="9">
        <f t="shared" si="11"/>
        <v>1.0837838767185624</v>
      </c>
      <c r="AB67" s="1">
        <f t="shared" si="8"/>
        <v>6.4161232814377023E-3</v>
      </c>
      <c r="AC67" s="9">
        <f t="shared" si="12"/>
        <v>6.3370588235296399E-3</v>
      </c>
      <c r="AD67" s="2">
        <f t="shared" si="14"/>
        <v>4.1166637962606908E-5</v>
      </c>
      <c r="AE67" s="45">
        <f t="shared" si="14"/>
        <v>4.0158314532874861E-5</v>
      </c>
      <c r="AF67" s="3">
        <f t="shared" si="15"/>
        <v>5.885271767967072E-3</v>
      </c>
      <c r="AG67" s="17">
        <f t="shared" si="16"/>
        <v>5.885271767967072E-3</v>
      </c>
      <c r="AH67" s="5">
        <f t="shared" si="13"/>
        <v>0.58852717679670719</v>
      </c>
    </row>
    <row r="68" spans="2:34" x14ac:dyDescent="0.3">
      <c r="B68" s="9" t="s">
        <v>91</v>
      </c>
      <c r="C68" s="54">
        <v>1.0841000000000001</v>
      </c>
      <c r="D68" s="55">
        <v>1.0831999999999999</v>
      </c>
      <c r="E68" s="54">
        <v>1.0883</v>
      </c>
      <c r="F68" s="55">
        <v>1.0810999999999999</v>
      </c>
      <c r="G68" s="58">
        <v>1.0837399999999999</v>
      </c>
      <c r="H68" s="59">
        <v>1.0864799999999999</v>
      </c>
      <c r="I68" s="58">
        <v>1.08172</v>
      </c>
      <c r="J68" s="59">
        <v>1.0837999999999999</v>
      </c>
      <c r="K68" s="54">
        <v>1.0841000000000001</v>
      </c>
      <c r="L68" s="60">
        <v>1.1744923875999997</v>
      </c>
      <c r="M68" s="61">
        <v>1.1804387903999998</v>
      </c>
      <c r="N68" s="60">
        <v>1.1701181584</v>
      </c>
      <c r="O68" s="61">
        <v>1.1746224399999998</v>
      </c>
      <c r="P68" s="60">
        <v>1.1752728100000001</v>
      </c>
      <c r="Q68" s="36">
        <v>1.1774618351999997</v>
      </c>
      <c r="R68" s="23">
        <v>1.1723032328</v>
      </c>
      <c r="S68" s="36">
        <v>1.1745574119999997</v>
      </c>
      <c r="T68" s="23">
        <v>1.1752671455999999</v>
      </c>
      <c r="U68" s="36">
        <v>1.1775270239999998</v>
      </c>
      <c r="V68" s="23">
        <v>1.1723681359999998</v>
      </c>
      <c r="W68" s="36">
        <v>1.174882534</v>
      </c>
      <c r="X68" s="23">
        <v>1.1778529680000001</v>
      </c>
      <c r="Y68" s="36">
        <v>1.1726926520000001</v>
      </c>
      <c r="Z68" s="23">
        <v>1.17494758</v>
      </c>
      <c r="AA68" s="9">
        <f t="shared" si="11"/>
        <v>1.0846689965406056</v>
      </c>
      <c r="AB68" s="1">
        <f t="shared" si="8"/>
        <v>-5.689965406054931E-4</v>
      </c>
      <c r="AC68" s="9">
        <f t="shared" si="12"/>
        <v>2.3705882352964558E-4</v>
      </c>
      <c r="AD68" s="2">
        <f t="shared" si="14"/>
        <v>3.2375706322101855E-7</v>
      </c>
      <c r="AE68" s="45">
        <f t="shared" si="14"/>
        <v>5.6196885813259643E-8</v>
      </c>
      <c r="AF68" s="3">
        <f t="shared" si="15"/>
        <v>-5.2485613929111063E-4</v>
      </c>
      <c r="AG68" s="17">
        <f t="shared" si="16"/>
        <v>5.2485613929111063E-4</v>
      </c>
      <c r="AH68" s="5">
        <f t="shared" si="13"/>
        <v>5.2485613929111066E-2</v>
      </c>
    </row>
    <row r="69" spans="2:34" x14ac:dyDescent="0.3">
      <c r="B69" s="9" t="s">
        <v>92</v>
      </c>
      <c r="C69" s="54">
        <v>1.0831999999999999</v>
      </c>
      <c r="D69" s="55">
        <v>1.0802</v>
      </c>
      <c r="E69" s="54">
        <v>1.0846</v>
      </c>
      <c r="F69" s="55">
        <v>1.0788</v>
      </c>
      <c r="G69" s="58">
        <v>1.0841799999999999</v>
      </c>
      <c r="H69" s="59">
        <v>1.0867999999999998</v>
      </c>
      <c r="I69" s="58">
        <v>1.0820599999999998</v>
      </c>
      <c r="J69" s="59">
        <v>1.0834199999999998</v>
      </c>
      <c r="K69" s="54">
        <v>1.0831999999999999</v>
      </c>
      <c r="L69" s="60">
        <v>1.1754462723999999</v>
      </c>
      <c r="M69" s="61">
        <v>1.1811342399999996</v>
      </c>
      <c r="N69" s="60">
        <v>1.1708538435999996</v>
      </c>
      <c r="O69" s="61">
        <v>1.1737988963999997</v>
      </c>
      <c r="P69" s="60">
        <v>1.1733222399999998</v>
      </c>
      <c r="Q69" s="36">
        <v>1.1782868239999997</v>
      </c>
      <c r="R69" s="23">
        <v>1.1731478107999997</v>
      </c>
      <c r="S69" s="36">
        <v>1.1746222955999996</v>
      </c>
      <c r="T69" s="23">
        <v>1.1759828079999994</v>
      </c>
      <c r="U69" s="36">
        <v>1.1774608559999995</v>
      </c>
      <c r="V69" s="23">
        <v>1.1723254451999996</v>
      </c>
      <c r="W69" s="36">
        <v>1.1743837759999998</v>
      </c>
      <c r="X69" s="23">
        <v>1.1772217599999997</v>
      </c>
      <c r="Y69" s="36">
        <v>1.1720873919999997</v>
      </c>
      <c r="Z69" s="23">
        <v>1.1735605439999997</v>
      </c>
      <c r="AA69" s="9">
        <f t="shared" si="11"/>
        <v>1.0829331893612517</v>
      </c>
      <c r="AB69" s="1">
        <f t="shared" si="8"/>
        <v>2.6681063874822719E-4</v>
      </c>
      <c r="AC69" s="9">
        <f t="shared" si="12"/>
        <v>-6.6294117647047734E-4</v>
      </c>
      <c r="AD69" s="2">
        <f t="shared" si="14"/>
        <v>7.118791694923699E-8</v>
      </c>
      <c r="AE69" s="45">
        <f t="shared" si="14"/>
        <v>4.3949100346006061E-7</v>
      </c>
      <c r="AF69" s="3">
        <f t="shared" si="15"/>
        <v>2.4631705940567506E-4</v>
      </c>
      <c r="AG69" s="17">
        <f t="shared" si="16"/>
        <v>2.4631705940567506E-4</v>
      </c>
      <c r="AH69" s="5">
        <f t="shared" si="13"/>
        <v>2.4631705940567506E-2</v>
      </c>
    </row>
    <row r="70" spans="2:34" x14ac:dyDescent="0.3">
      <c r="B70" s="9" t="s">
        <v>93</v>
      </c>
      <c r="C70" s="54">
        <v>1.08</v>
      </c>
      <c r="D70" s="55">
        <v>1.0857000000000001</v>
      </c>
      <c r="E70" s="54">
        <v>1.0861000000000001</v>
      </c>
      <c r="F70" s="55">
        <v>1.0799000000000001</v>
      </c>
      <c r="G70" s="58">
        <v>1.0841400000000001</v>
      </c>
      <c r="H70" s="59">
        <v>1.0868600000000002</v>
      </c>
      <c r="I70" s="58">
        <v>1.0824200000000002</v>
      </c>
      <c r="J70" s="59">
        <v>1.0838399999999999</v>
      </c>
      <c r="K70" s="54">
        <v>1.08</v>
      </c>
      <c r="L70" s="60">
        <v>1.1753595396000003</v>
      </c>
      <c r="M70" s="61">
        <v>1.1812646596000003</v>
      </c>
      <c r="N70" s="60">
        <v>1.1716330564000004</v>
      </c>
      <c r="O70" s="61">
        <v>1.1747091455999998</v>
      </c>
      <c r="P70" s="60">
        <v>1.1664000000000001</v>
      </c>
      <c r="Q70" s="36">
        <v>1.1783084004000002</v>
      </c>
      <c r="R70" s="23">
        <v>1.1734948188000003</v>
      </c>
      <c r="S70" s="36">
        <v>1.1750342976000001</v>
      </c>
      <c r="T70" s="23">
        <v>1.1764390012000003</v>
      </c>
      <c r="U70" s="36">
        <v>1.1779823424</v>
      </c>
      <c r="V70" s="23">
        <v>1.1731700928000002</v>
      </c>
      <c r="W70" s="36">
        <v>1.1708712000000001</v>
      </c>
      <c r="X70" s="23">
        <v>1.1738088000000002</v>
      </c>
      <c r="Y70" s="36">
        <v>1.1690136000000002</v>
      </c>
      <c r="Z70" s="23">
        <v>1.1705471999999999</v>
      </c>
      <c r="AA70" s="9">
        <f t="shared" si="11"/>
        <v>1.0843073313366678</v>
      </c>
      <c r="AB70" s="1">
        <f t="shared" si="8"/>
        <v>-4.3073313366677191E-3</v>
      </c>
      <c r="AC70" s="9">
        <f t="shared" si="12"/>
        <v>-3.862941176470347E-3</v>
      </c>
      <c r="AD70" s="2">
        <f t="shared" si="14"/>
        <v>1.855310324383972E-5</v>
      </c>
      <c r="AE70" s="45">
        <f t="shared" si="14"/>
        <v>1.4922314532870109E-5</v>
      </c>
      <c r="AF70" s="3">
        <f t="shared" si="15"/>
        <v>-3.9882697561738137E-3</v>
      </c>
      <c r="AG70" s="17">
        <f t="shared" si="16"/>
        <v>3.9882697561738137E-3</v>
      </c>
      <c r="AH70" s="5">
        <f t="shared" si="13"/>
        <v>0.39882697561738134</v>
      </c>
    </row>
    <row r="71" spans="2:34" x14ac:dyDescent="0.3">
      <c r="B71" s="9" t="s">
        <v>94</v>
      </c>
      <c r="C71" s="54">
        <v>1.0854999999999999</v>
      </c>
      <c r="D71" s="55">
        <v>1.0860000000000001</v>
      </c>
      <c r="E71" s="54">
        <v>1.089</v>
      </c>
      <c r="F71" s="55">
        <v>1.0852999999999999</v>
      </c>
      <c r="G71" s="58">
        <v>1.08412</v>
      </c>
      <c r="H71" s="59">
        <v>1.0865800000000001</v>
      </c>
      <c r="I71" s="58">
        <v>1.0822000000000001</v>
      </c>
      <c r="J71" s="59">
        <v>1.08382</v>
      </c>
      <c r="K71" s="54">
        <v>1.0854999999999999</v>
      </c>
      <c r="L71" s="60">
        <v>1.1753161744</v>
      </c>
      <c r="M71" s="61">
        <v>1.1806560964000001</v>
      </c>
      <c r="N71" s="60">
        <v>1.1711568400000001</v>
      </c>
      <c r="O71" s="61">
        <v>1.1746657923999999</v>
      </c>
      <c r="P71" s="60">
        <v>1.1783102499999998</v>
      </c>
      <c r="Q71" s="36">
        <v>1.1779831096000002</v>
      </c>
      <c r="R71" s="23">
        <v>1.173234664</v>
      </c>
      <c r="S71" s="36">
        <v>1.1749909383999999</v>
      </c>
      <c r="T71" s="23">
        <v>1.1758968760000001</v>
      </c>
      <c r="U71" s="36">
        <v>1.1776571356000001</v>
      </c>
      <c r="V71" s="23">
        <v>1.172910004</v>
      </c>
      <c r="W71" s="36">
        <v>1.1768122599999999</v>
      </c>
      <c r="X71" s="23">
        <v>1.1794825900000001</v>
      </c>
      <c r="Y71" s="36">
        <v>1.1747281000000001</v>
      </c>
      <c r="Z71" s="23">
        <v>1.17648661</v>
      </c>
      <c r="AA71" s="9">
        <f t="shared" si="11"/>
        <v>1.0841051387561405</v>
      </c>
      <c r="AB71" s="1">
        <f t="shared" si="8"/>
        <v>1.3948612438594576E-3</v>
      </c>
      <c r="AC71" s="9">
        <f t="shared" si="12"/>
        <v>1.6370588235294914E-3</v>
      </c>
      <c r="AD71" s="2">
        <f t="shared" si="14"/>
        <v>1.9456378896211536E-6</v>
      </c>
      <c r="AE71" s="45">
        <f t="shared" si="14"/>
        <v>2.6799615916957625E-6</v>
      </c>
      <c r="AF71" s="3">
        <f t="shared" si="15"/>
        <v>1.2849942366277823E-3</v>
      </c>
      <c r="AG71" s="17">
        <f t="shared" si="16"/>
        <v>1.2849942366277823E-3</v>
      </c>
      <c r="AH71" s="5">
        <f t="shared" si="13"/>
        <v>0.12849942366277822</v>
      </c>
    </row>
    <row r="72" spans="2:34" x14ac:dyDescent="0.3">
      <c r="B72" s="9" t="s">
        <v>95</v>
      </c>
      <c r="C72" s="54">
        <v>1.0858000000000001</v>
      </c>
      <c r="D72" s="55">
        <v>1.0853999999999999</v>
      </c>
      <c r="E72" s="54">
        <v>1.0868</v>
      </c>
      <c r="F72" s="55">
        <v>1.0841000000000001</v>
      </c>
      <c r="G72" s="58">
        <v>1.08436</v>
      </c>
      <c r="H72" s="59">
        <v>1.0869200000000001</v>
      </c>
      <c r="I72" s="58">
        <v>1.08246</v>
      </c>
      <c r="J72" s="59">
        <v>1.0837599999999998</v>
      </c>
      <c r="K72" s="54">
        <v>1.0858000000000001</v>
      </c>
      <c r="L72" s="60">
        <v>1.1758366095999999</v>
      </c>
      <c r="M72" s="61">
        <v>1.1813950864000002</v>
      </c>
      <c r="N72" s="60">
        <v>1.1717196515999999</v>
      </c>
      <c r="O72" s="61">
        <v>1.1745357375999996</v>
      </c>
      <c r="P72" s="60">
        <v>1.1789616400000003</v>
      </c>
      <c r="Q72" s="36">
        <v>1.1786125712000002</v>
      </c>
      <c r="R72" s="23">
        <v>1.1737763256</v>
      </c>
      <c r="S72" s="36">
        <v>1.1751859935999998</v>
      </c>
      <c r="T72" s="23">
        <v>1.1765474232000002</v>
      </c>
      <c r="U72" s="36">
        <v>1.1779604191999999</v>
      </c>
      <c r="V72" s="23">
        <v>1.1731268495999998</v>
      </c>
      <c r="W72" s="36">
        <v>1.1773980880000001</v>
      </c>
      <c r="X72" s="23">
        <v>1.1801777360000003</v>
      </c>
      <c r="Y72" s="36">
        <v>1.1753350680000001</v>
      </c>
      <c r="Z72" s="23">
        <v>1.176746608</v>
      </c>
      <c r="AA72" s="9">
        <f t="shared" si="11"/>
        <v>1.0836110023277663</v>
      </c>
      <c r="AB72" s="1">
        <f t="shared" si="8"/>
        <v>2.1889976722337945E-3</v>
      </c>
      <c r="AC72" s="9">
        <f t="shared" si="12"/>
        <v>1.9370588235296804E-3</v>
      </c>
      <c r="AD72" s="2">
        <f t="shared" si="14"/>
        <v>4.7917108090449706E-6</v>
      </c>
      <c r="AE72" s="45">
        <f t="shared" si="14"/>
        <v>3.7521968858141895E-6</v>
      </c>
      <c r="AF72" s="3">
        <f t="shared" si="15"/>
        <v>2.0160229068279557E-3</v>
      </c>
      <c r="AG72" s="17">
        <f t="shared" si="16"/>
        <v>2.0160229068279557E-3</v>
      </c>
      <c r="AH72" s="5">
        <f t="shared" si="13"/>
        <v>0.20160229068279556</v>
      </c>
    </row>
    <row r="73" spans="2:34" x14ac:dyDescent="0.3">
      <c r="B73" s="9" t="s">
        <v>96</v>
      </c>
      <c r="C73" s="54">
        <v>1.0845</v>
      </c>
      <c r="D73" s="55">
        <v>1.0813999999999999</v>
      </c>
      <c r="E73" s="54">
        <v>1.0859000000000001</v>
      </c>
      <c r="F73" s="55">
        <v>1.0805</v>
      </c>
      <c r="G73" s="58">
        <v>1.0853999999999999</v>
      </c>
      <c r="H73" s="59">
        <v>1.0873200000000001</v>
      </c>
      <c r="I73" s="58">
        <v>1.0830600000000001</v>
      </c>
      <c r="J73" s="59">
        <v>1.08426</v>
      </c>
      <c r="K73" s="54">
        <v>1.0845</v>
      </c>
      <c r="L73" s="60">
        <v>1.1780931599999998</v>
      </c>
      <c r="M73" s="61">
        <v>1.1822647824000001</v>
      </c>
      <c r="N73" s="60">
        <v>1.1730189636000004</v>
      </c>
      <c r="O73" s="61">
        <v>1.1756197476000001</v>
      </c>
      <c r="P73" s="60">
        <v>1.17614025</v>
      </c>
      <c r="Q73" s="36">
        <v>1.180177128</v>
      </c>
      <c r="R73" s="23">
        <v>1.175553324</v>
      </c>
      <c r="S73" s="36">
        <v>1.1768558039999999</v>
      </c>
      <c r="T73" s="23">
        <v>1.1776327992000002</v>
      </c>
      <c r="U73" s="36">
        <v>1.1789375832</v>
      </c>
      <c r="V73" s="23">
        <v>1.1743186356000002</v>
      </c>
      <c r="W73" s="36">
        <v>1.1771163</v>
      </c>
      <c r="X73" s="23">
        <v>1.17919854</v>
      </c>
      <c r="Y73" s="36">
        <v>1.1745785700000002</v>
      </c>
      <c r="Z73" s="23">
        <v>1.17587997</v>
      </c>
      <c r="AA73" s="9">
        <f t="shared" si="11"/>
        <v>1.0827822178604483</v>
      </c>
      <c r="AB73" s="1">
        <f t="shared" si="8"/>
        <v>1.7177821395517601E-3</v>
      </c>
      <c r="AC73" s="9">
        <f t="shared" si="12"/>
        <v>6.3705882352960153E-4</v>
      </c>
      <c r="AD73" s="2">
        <f t="shared" si="14"/>
        <v>2.9507754789630226E-6</v>
      </c>
      <c r="AE73" s="45">
        <f t="shared" si="14"/>
        <v>4.0584394463691997E-7</v>
      </c>
      <c r="AF73" s="3">
        <f t="shared" si="15"/>
        <v>1.5839392711403965E-3</v>
      </c>
      <c r="AG73" s="17">
        <f t="shared" si="16"/>
        <v>1.5839392711403965E-3</v>
      </c>
      <c r="AH73" s="5">
        <f t="shared" si="13"/>
        <v>0.15839392711403966</v>
      </c>
    </row>
    <row r="74" spans="2:34" x14ac:dyDescent="0.3">
      <c r="B74" s="9" t="s">
        <v>97</v>
      </c>
      <c r="C74" s="54">
        <v>1.0812999999999999</v>
      </c>
      <c r="D74" s="55">
        <v>1.0824</v>
      </c>
      <c r="E74" s="54">
        <v>1.0862000000000001</v>
      </c>
      <c r="F74" s="55">
        <v>1.0805</v>
      </c>
      <c r="G74" s="58">
        <v>1.0866199999999999</v>
      </c>
      <c r="H74" s="59">
        <v>1.0880000000000001</v>
      </c>
      <c r="I74" s="58">
        <v>1.0840399999999999</v>
      </c>
      <c r="J74" s="59">
        <v>1.0852999999999999</v>
      </c>
      <c r="K74" s="54">
        <v>1.0812999999999999</v>
      </c>
      <c r="L74" s="60">
        <v>1.1807430243999999</v>
      </c>
      <c r="M74" s="61">
        <v>1.1837440000000001</v>
      </c>
      <c r="N74" s="60">
        <v>1.1751427215999997</v>
      </c>
      <c r="O74" s="61">
        <v>1.1778760899999998</v>
      </c>
      <c r="P74" s="60">
        <v>1.1692096899999997</v>
      </c>
      <c r="Q74" s="36">
        <v>1.1822425599999999</v>
      </c>
      <c r="R74" s="23">
        <v>1.1779395447999998</v>
      </c>
      <c r="S74" s="36">
        <v>1.1793086859999999</v>
      </c>
      <c r="T74" s="23">
        <v>1.17943552</v>
      </c>
      <c r="U74" s="36">
        <v>1.1808064</v>
      </c>
      <c r="V74" s="23">
        <v>1.1765086119999999</v>
      </c>
      <c r="W74" s="36">
        <v>1.1749622059999998</v>
      </c>
      <c r="X74" s="23">
        <v>1.1764543999999999</v>
      </c>
      <c r="Y74" s="36">
        <v>1.1721724519999999</v>
      </c>
      <c r="Z74" s="23">
        <v>1.1735348899999998</v>
      </c>
      <c r="AA74" s="9">
        <f t="shared" si="11"/>
        <v>1.0831574447352528</v>
      </c>
      <c r="AB74" s="1">
        <f t="shared" si="8"/>
        <v>-1.8574447352528445E-3</v>
      </c>
      <c r="AC74" s="9">
        <f t="shared" si="12"/>
        <v>-2.5629411764704901E-3</v>
      </c>
      <c r="AD74" s="2">
        <f t="shared" si="14"/>
        <v>3.4501009445185094E-6</v>
      </c>
      <c r="AE74" s="45">
        <f t="shared" si="14"/>
        <v>6.5686674740479402E-6</v>
      </c>
      <c r="AF74" s="3">
        <f t="shared" si="15"/>
        <v>-1.7177885279319751E-3</v>
      </c>
      <c r="AG74" s="17">
        <f t="shared" si="16"/>
        <v>1.7177885279319751E-3</v>
      </c>
      <c r="AH74" s="5">
        <f t="shared" si="13"/>
        <v>0.17177885279319752</v>
      </c>
    </row>
    <row r="75" spans="2:34" x14ac:dyDescent="0.3">
      <c r="B75" s="9" t="s">
        <v>98</v>
      </c>
      <c r="C75" s="54">
        <v>1.0821000000000001</v>
      </c>
      <c r="D75" s="55">
        <v>1.0854999999999999</v>
      </c>
      <c r="E75" s="54">
        <v>1.0864</v>
      </c>
      <c r="F75" s="55">
        <v>1.0817000000000001</v>
      </c>
      <c r="G75" s="58">
        <v>1.0859000000000001</v>
      </c>
      <c r="H75" s="59">
        <v>1.0884399999999999</v>
      </c>
      <c r="I75" s="58">
        <v>1.0839399999999999</v>
      </c>
      <c r="J75" s="59">
        <v>1.0865199999999997</v>
      </c>
      <c r="K75" s="54">
        <v>1.0821000000000001</v>
      </c>
      <c r="L75" s="60">
        <v>1.1791788100000002</v>
      </c>
      <c r="M75" s="61">
        <v>1.1847016335999996</v>
      </c>
      <c r="N75" s="60">
        <v>1.1749259235999998</v>
      </c>
      <c r="O75" s="61">
        <v>1.1805257103999993</v>
      </c>
      <c r="P75" s="60">
        <v>1.17094041</v>
      </c>
      <c r="Q75" s="36">
        <v>1.1819369959999999</v>
      </c>
      <c r="R75" s="23">
        <v>1.177050446</v>
      </c>
      <c r="S75" s="36">
        <v>1.1798520679999998</v>
      </c>
      <c r="T75" s="23">
        <v>1.1798036535999998</v>
      </c>
      <c r="U75" s="36">
        <v>1.1826118287999996</v>
      </c>
      <c r="V75" s="23">
        <v>1.1777224887999995</v>
      </c>
      <c r="W75" s="36">
        <v>1.1750523900000001</v>
      </c>
      <c r="X75" s="23">
        <v>1.1778009239999998</v>
      </c>
      <c r="Y75" s="36">
        <v>1.1729314739999999</v>
      </c>
      <c r="Z75" s="23">
        <v>1.1757232919999998</v>
      </c>
      <c r="AA75" s="9">
        <f t="shared" si="11"/>
        <v>1.0880007121003823</v>
      </c>
      <c r="AB75" s="1">
        <f t="shared" si="8"/>
        <v>-5.9007121003822327E-3</v>
      </c>
      <c r="AC75" s="9">
        <f t="shared" si="12"/>
        <v>-1.7629411764703562E-3</v>
      </c>
      <c r="AD75" s="2">
        <f t="shared" si="14"/>
        <v>3.4818403291597299E-5</v>
      </c>
      <c r="AE75" s="45">
        <f t="shared" si="14"/>
        <v>3.1079615916946837E-6</v>
      </c>
      <c r="AF75" s="3">
        <f t="shared" si="15"/>
        <v>-5.4530192222366066E-3</v>
      </c>
      <c r="AG75" s="17">
        <f t="shared" si="16"/>
        <v>5.4530192222366066E-3</v>
      </c>
      <c r="AH75" s="5">
        <f t="shared" si="13"/>
        <v>0.5453019222236607</v>
      </c>
    </row>
    <row r="76" spans="2:34" x14ac:dyDescent="0.3">
      <c r="B76" s="9" t="s">
        <v>99</v>
      </c>
      <c r="C76" s="54">
        <v>1.0853999999999999</v>
      </c>
      <c r="D76" s="55">
        <v>1.0859000000000001</v>
      </c>
      <c r="E76" s="54">
        <v>1.0875999999999999</v>
      </c>
      <c r="F76" s="55">
        <v>1.0842000000000001</v>
      </c>
      <c r="G76" s="58">
        <v>1.0844800000000001</v>
      </c>
      <c r="H76" s="59">
        <v>1.08744</v>
      </c>
      <c r="I76" s="58">
        <v>1.0824399999999998</v>
      </c>
      <c r="J76" s="59">
        <v>1.0858000000000001</v>
      </c>
      <c r="K76" s="54">
        <v>1.0853999999999999</v>
      </c>
      <c r="L76" s="60">
        <v>1.1760968704000003</v>
      </c>
      <c r="M76" s="61">
        <v>1.1825257536</v>
      </c>
      <c r="N76" s="60">
        <v>1.1716763535999997</v>
      </c>
      <c r="O76" s="61">
        <v>1.1789616400000003</v>
      </c>
      <c r="P76" s="60">
        <v>1.1780931599999998</v>
      </c>
      <c r="Q76" s="36">
        <v>1.1793069312000002</v>
      </c>
      <c r="R76" s="23">
        <v>1.1738845311999999</v>
      </c>
      <c r="S76" s="36">
        <v>1.1775283840000002</v>
      </c>
      <c r="T76" s="23">
        <v>1.1770885535999998</v>
      </c>
      <c r="U76" s="36">
        <v>1.180742352</v>
      </c>
      <c r="V76" s="23">
        <v>1.1753133519999999</v>
      </c>
      <c r="W76" s="36">
        <v>1.177094592</v>
      </c>
      <c r="X76" s="23">
        <v>1.1803073759999998</v>
      </c>
      <c r="Y76" s="36">
        <v>1.1748803759999997</v>
      </c>
      <c r="Z76" s="23">
        <v>1.1785273199999999</v>
      </c>
      <c r="AA76" s="9">
        <f t="shared" si="11"/>
        <v>1.0885196931076839</v>
      </c>
      <c r="AB76" s="1">
        <f t="shared" si="8"/>
        <v>-3.1196931076840073E-3</v>
      </c>
      <c r="AC76" s="9">
        <f t="shared" si="12"/>
        <v>1.5370588235295024E-3</v>
      </c>
      <c r="AD76" s="2">
        <f t="shared" si="14"/>
        <v>9.7324850861310986E-6</v>
      </c>
      <c r="AE76" s="45">
        <f t="shared" si="14"/>
        <v>2.3625498269898981E-6</v>
      </c>
      <c r="AF76" s="3">
        <f t="shared" si="15"/>
        <v>-2.8742335615293971E-3</v>
      </c>
      <c r="AG76" s="17">
        <f t="shared" si="16"/>
        <v>2.8742335615293971E-3</v>
      </c>
      <c r="AH76" s="5">
        <f t="shared" si="13"/>
        <v>0.28742335615293974</v>
      </c>
    </row>
    <row r="77" spans="2:34" x14ac:dyDescent="0.3">
      <c r="B77" s="9" t="s">
        <v>100</v>
      </c>
      <c r="C77" s="54">
        <v>1.0854999999999999</v>
      </c>
      <c r="D77" s="55">
        <v>1.0866</v>
      </c>
      <c r="E77" s="54">
        <v>1.0885</v>
      </c>
      <c r="F77" s="55">
        <v>1.0853999999999999</v>
      </c>
      <c r="G77" s="58">
        <v>1.08264</v>
      </c>
      <c r="H77" s="59">
        <v>1.08588</v>
      </c>
      <c r="I77" s="58">
        <v>1.0806799999999999</v>
      </c>
      <c r="J77" s="59">
        <v>1.08446</v>
      </c>
      <c r="K77" s="54">
        <v>1.0854999999999999</v>
      </c>
      <c r="L77" s="60">
        <v>1.1721093696</v>
      </c>
      <c r="M77" s="61">
        <v>1.1791353743999999</v>
      </c>
      <c r="N77" s="60">
        <v>1.1678692623999998</v>
      </c>
      <c r="O77" s="61">
        <v>1.1760534916000001</v>
      </c>
      <c r="P77" s="60">
        <v>1.1783102499999998</v>
      </c>
      <c r="Q77" s="36">
        <v>1.1756171232000001</v>
      </c>
      <c r="R77" s="23">
        <v>1.1699873951999999</v>
      </c>
      <c r="S77" s="36">
        <v>1.1740797744</v>
      </c>
      <c r="T77" s="23">
        <v>1.1734887983999998</v>
      </c>
      <c r="U77" s="36">
        <v>1.1775934248</v>
      </c>
      <c r="V77" s="23">
        <v>1.1719542327999999</v>
      </c>
      <c r="W77" s="36">
        <v>1.1752057199999999</v>
      </c>
      <c r="X77" s="23">
        <v>1.1787227399999998</v>
      </c>
      <c r="Y77" s="36">
        <v>1.1730781399999997</v>
      </c>
      <c r="Z77" s="23">
        <v>1.1771813299999998</v>
      </c>
      <c r="AA77" s="9">
        <f t="shared" si="11"/>
        <v>1.0882219545078027</v>
      </c>
      <c r="AB77" s="1">
        <f t="shared" si="8"/>
        <v>-2.7219545078027707E-3</v>
      </c>
      <c r="AC77" s="9">
        <f t="shared" si="12"/>
        <v>1.6370588235294914E-3</v>
      </c>
      <c r="AD77" s="2">
        <f t="shared" si="14"/>
        <v>7.4090363425478241E-6</v>
      </c>
      <c r="AE77" s="45">
        <f t="shared" si="14"/>
        <v>2.6799615916957625E-6</v>
      </c>
      <c r="AF77" s="3">
        <f t="shared" si="15"/>
        <v>-2.5075582752674074E-3</v>
      </c>
      <c r="AG77" s="17">
        <f t="shared" si="16"/>
        <v>2.5075582752674074E-3</v>
      </c>
      <c r="AH77" s="5">
        <f t="shared" si="13"/>
        <v>0.25075582752674075</v>
      </c>
    </row>
    <row r="78" spans="2:34" x14ac:dyDescent="0.3">
      <c r="B78" s="9" t="s">
        <v>101</v>
      </c>
      <c r="C78" s="54">
        <v>1.087</v>
      </c>
      <c r="D78" s="55">
        <v>1.0866</v>
      </c>
      <c r="E78" s="54">
        <v>1.0879000000000001</v>
      </c>
      <c r="F78" s="55">
        <v>1.0834999999999999</v>
      </c>
      <c r="G78" s="58">
        <v>1.0809599999999999</v>
      </c>
      <c r="H78" s="59">
        <v>1.0840999999999998</v>
      </c>
      <c r="I78" s="58">
        <v>1.0791799999999998</v>
      </c>
      <c r="J78" s="59">
        <v>1.0824400000000001</v>
      </c>
      <c r="K78" s="54">
        <v>1.087</v>
      </c>
      <c r="L78" s="60">
        <v>1.1684745215999999</v>
      </c>
      <c r="M78" s="61">
        <v>1.1752728099999996</v>
      </c>
      <c r="N78" s="60">
        <v>1.1646294723999995</v>
      </c>
      <c r="O78" s="61">
        <v>1.1716763536000001</v>
      </c>
      <c r="P78" s="60">
        <v>1.1815689999999999</v>
      </c>
      <c r="Q78" s="36">
        <v>1.1718687359999997</v>
      </c>
      <c r="R78" s="23">
        <v>1.1665504127999997</v>
      </c>
      <c r="S78" s="36">
        <v>1.1700743424</v>
      </c>
      <c r="T78" s="23">
        <v>1.1699390379999997</v>
      </c>
      <c r="U78" s="36">
        <v>1.173473204</v>
      </c>
      <c r="V78" s="23">
        <v>1.1681475991999999</v>
      </c>
      <c r="W78" s="36">
        <v>1.17500352</v>
      </c>
      <c r="X78" s="23">
        <v>1.1784166999999999</v>
      </c>
      <c r="Y78" s="36">
        <v>1.1730686599999998</v>
      </c>
      <c r="Z78" s="23">
        <v>1.1766122800000001</v>
      </c>
      <c r="AA78" s="9">
        <f t="shared" si="11"/>
        <v>1.0859407364120544</v>
      </c>
      <c r="AB78" s="1">
        <f t="shared" si="8"/>
        <v>1.0592635879456136E-3</v>
      </c>
      <c r="AC78" s="9">
        <f t="shared" si="12"/>
        <v>3.1370588235295482E-3</v>
      </c>
      <c r="AD78" s="2">
        <f t="shared" si="14"/>
        <v>1.1220393487474147E-6</v>
      </c>
      <c r="AE78" s="45">
        <f t="shared" si="14"/>
        <v>9.8411380622845928E-6</v>
      </c>
      <c r="AF78" s="3">
        <f t="shared" si="15"/>
        <v>9.7448352156910176E-4</v>
      </c>
      <c r="AG78" s="17">
        <f t="shared" si="16"/>
        <v>9.7448352156910176E-4</v>
      </c>
      <c r="AH78" s="5">
        <f t="shared" si="13"/>
        <v>9.7448352156910181E-2</v>
      </c>
    </row>
    <row r="79" spans="2:34" x14ac:dyDescent="0.3">
      <c r="B79" s="9" t="s">
        <v>102</v>
      </c>
      <c r="C79" s="54">
        <v>1.0865</v>
      </c>
      <c r="D79" s="55">
        <v>1.0885</v>
      </c>
      <c r="E79" s="54">
        <v>1.0895999999999999</v>
      </c>
      <c r="F79" s="55">
        <v>1.0853999999999999</v>
      </c>
      <c r="G79" s="58">
        <v>1.0782799999999999</v>
      </c>
      <c r="H79" s="59">
        <v>1.08188</v>
      </c>
      <c r="I79" s="58">
        <v>1.0765799999999999</v>
      </c>
      <c r="J79" s="59">
        <v>1.0807600000000002</v>
      </c>
      <c r="K79" s="54">
        <v>1.0865</v>
      </c>
      <c r="L79" s="60">
        <v>1.1626877583999997</v>
      </c>
      <c r="M79" s="61">
        <v>1.1704643343999999</v>
      </c>
      <c r="N79" s="60">
        <v>1.1590244963999998</v>
      </c>
      <c r="O79" s="61">
        <v>1.1680421776000003</v>
      </c>
      <c r="P79" s="60">
        <v>1.1804822500000001</v>
      </c>
      <c r="Q79" s="36">
        <v>1.1665695663999998</v>
      </c>
      <c r="R79" s="23">
        <v>1.1608546823999997</v>
      </c>
      <c r="S79" s="36">
        <v>1.1653618928</v>
      </c>
      <c r="T79" s="23">
        <v>1.1647303703999998</v>
      </c>
      <c r="U79" s="36">
        <v>1.1692526288</v>
      </c>
      <c r="V79" s="23">
        <v>1.1635246008</v>
      </c>
      <c r="W79" s="36">
        <v>1.17155122</v>
      </c>
      <c r="X79" s="23">
        <v>1.17546262</v>
      </c>
      <c r="Y79" s="36">
        <v>1.1697041699999999</v>
      </c>
      <c r="Z79" s="23">
        <v>1.1742457400000001</v>
      </c>
      <c r="AA79" s="9">
        <f t="shared" si="11"/>
        <v>1.086175383064641</v>
      </c>
      <c r="AB79" s="1">
        <f t="shared" si="8"/>
        <v>3.2461693535901226E-4</v>
      </c>
      <c r="AC79" s="9">
        <f t="shared" si="12"/>
        <v>2.6370588235296033E-3</v>
      </c>
      <c r="AD79" s="2">
        <f t="shared" si="14"/>
        <v>1.0537615472187714E-7</v>
      </c>
      <c r="AE79" s="45">
        <f t="shared" si="14"/>
        <v>6.9540792387553352E-6</v>
      </c>
      <c r="AF79" s="3">
        <f t="shared" si="15"/>
        <v>2.9877306521768272E-4</v>
      </c>
      <c r="AG79" s="17">
        <f t="shared" si="16"/>
        <v>2.9877306521768272E-4</v>
      </c>
      <c r="AH79" s="5">
        <f t="shared" si="13"/>
        <v>2.987730652176827E-2</v>
      </c>
    </row>
    <row r="80" spans="2:34" x14ac:dyDescent="0.3">
      <c r="B80" s="9" t="s">
        <v>103</v>
      </c>
      <c r="C80" s="54">
        <v>1.0882000000000001</v>
      </c>
      <c r="D80" s="55">
        <v>1.0819000000000001</v>
      </c>
      <c r="E80" s="54">
        <v>1.0886</v>
      </c>
      <c r="F80" s="55">
        <v>1.0811999999999999</v>
      </c>
      <c r="G80" s="58">
        <v>1.07698</v>
      </c>
      <c r="H80" s="59">
        <v>1.0793200000000001</v>
      </c>
      <c r="I80" s="58">
        <v>1.0750199999999999</v>
      </c>
      <c r="J80" s="59">
        <v>1.07802</v>
      </c>
      <c r="K80" s="54">
        <v>1.0882000000000001</v>
      </c>
      <c r="L80" s="60">
        <v>1.1598859204</v>
      </c>
      <c r="M80" s="61">
        <v>1.1649316624000001</v>
      </c>
      <c r="N80" s="60">
        <v>1.1556680003999997</v>
      </c>
      <c r="O80" s="61">
        <v>1.1621271203999999</v>
      </c>
      <c r="P80" s="60">
        <v>1.1841792400000002</v>
      </c>
      <c r="Q80" s="36">
        <v>1.1624060536</v>
      </c>
      <c r="R80" s="23">
        <v>1.1577750395999999</v>
      </c>
      <c r="S80" s="36">
        <v>1.1610059796000001</v>
      </c>
      <c r="T80" s="23">
        <v>1.1602905863999999</v>
      </c>
      <c r="U80" s="36">
        <v>1.1635285464</v>
      </c>
      <c r="V80" s="23">
        <v>1.1588930603999998</v>
      </c>
      <c r="W80" s="36">
        <v>1.171969636</v>
      </c>
      <c r="X80" s="23">
        <v>1.1745160240000001</v>
      </c>
      <c r="Y80" s="36">
        <v>1.1698367639999998</v>
      </c>
      <c r="Z80" s="23">
        <v>1.1731013640000001</v>
      </c>
      <c r="AA80" s="9">
        <f t="shared" si="11"/>
        <v>1.0809448274790903</v>
      </c>
      <c r="AB80" s="1">
        <f t="shared" si="8"/>
        <v>7.2551725209097917E-3</v>
      </c>
      <c r="AC80" s="9">
        <f t="shared" si="12"/>
        <v>4.3370588235296381E-3</v>
      </c>
      <c r="AD80" s="2">
        <f t="shared" si="14"/>
        <v>5.2637528308164541E-5</v>
      </c>
      <c r="AE80" s="45">
        <f t="shared" si="14"/>
        <v>1.8810079238756288E-5</v>
      </c>
      <c r="AF80" s="3">
        <f t="shared" si="15"/>
        <v>6.6671315207772388E-3</v>
      </c>
      <c r="AG80" s="17">
        <f t="shared" si="16"/>
        <v>6.6671315207772388E-3</v>
      </c>
      <c r="AH80" s="5">
        <f t="shared" si="13"/>
        <v>0.66671315207772386</v>
      </c>
    </row>
    <row r="81" spans="2:34" x14ac:dyDescent="0.3">
      <c r="B81" s="9" t="s">
        <v>104</v>
      </c>
      <c r="C81" s="54">
        <v>1.0818000000000001</v>
      </c>
      <c r="D81" s="55">
        <v>1.0788</v>
      </c>
      <c r="E81" s="54">
        <v>1.0826</v>
      </c>
      <c r="F81" s="55">
        <v>1.0767</v>
      </c>
      <c r="G81" s="58">
        <v>1.0766199999999999</v>
      </c>
      <c r="H81" s="59">
        <v>1.07856</v>
      </c>
      <c r="I81" s="58">
        <v>1.0746199999999999</v>
      </c>
      <c r="J81" s="59">
        <v>1.0767</v>
      </c>
      <c r="K81" s="54">
        <v>1.0818000000000001</v>
      </c>
      <c r="L81" s="60">
        <v>1.1591106243999998</v>
      </c>
      <c r="M81" s="61">
        <v>1.1632916735999999</v>
      </c>
      <c r="N81" s="60">
        <v>1.1548081443999998</v>
      </c>
      <c r="O81" s="61">
        <v>1.1592828900000001</v>
      </c>
      <c r="P81" s="60">
        <v>1.1702912400000003</v>
      </c>
      <c r="Q81" s="36">
        <v>1.1611992671999998</v>
      </c>
      <c r="R81" s="23">
        <v>1.1569573843999998</v>
      </c>
      <c r="S81" s="36">
        <v>1.1591967539999999</v>
      </c>
      <c r="T81" s="23">
        <v>1.1590421471999999</v>
      </c>
      <c r="U81" s="36">
        <v>1.1612855520000001</v>
      </c>
      <c r="V81" s="23">
        <v>1.1570433539999998</v>
      </c>
      <c r="W81" s="36">
        <v>1.1646875160000001</v>
      </c>
      <c r="X81" s="23">
        <v>1.166786208</v>
      </c>
      <c r="Y81" s="36">
        <v>1.162523916</v>
      </c>
      <c r="Z81" s="23">
        <v>1.1647740600000001</v>
      </c>
      <c r="AA81" s="9">
        <f t="shared" si="11"/>
        <v>1.0781042102224099</v>
      </c>
      <c r="AB81" s="1">
        <f t="shared" si="8"/>
        <v>3.6957897775902193E-3</v>
      </c>
      <c r="AC81" s="9">
        <f t="shared" si="12"/>
        <v>-2.0629411764703232E-3</v>
      </c>
      <c r="AD81" s="2">
        <f t="shared" si="14"/>
        <v>1.3658862080140362E-5</v>
      </c>
      <c r="AE81" s="45">
        <f t="shared" si="14"/>
        <v>4.2557262975767606E-6</v>
      </c>
      <c r="AF81" s="3">
        <f t="shared" si="15"/>
        <v>3.416333682372175E-3</v>
      </c>
      <c r="AG81" s="17">
        <f t="shared" si="16"/>
        <v>3.416333682372175E-3</v>
      </c>
      <c r="AH81" s="5">
        <f t="shared" si="13"/>
        <v>0.34163336823721752</v>
      </c>
    </row>
    <row r="82" spans="2:34" x14ac:dyDescent="0.3">
      <c r="B82" s="9" t="s">
        <v>105</v>
      </c>
      <c r="C82" s="54">
        <v>1.0788</v>
      </c>
      <c r="D82" s="55">
        <v>1.0773999999999999</v>
      </c>
      <c r="E82" s="54">
        <v>1.0807</v>
      </c>
      <c r="F82" s="55">
        <v>1.0766</v>
      </c>
      <c r="G82" s="58">
        <v>1.0763799999999999</v>
      </c>
      <c r="H82" s="59">
        <v>1.0782399999999999</v>
      </c>
      <c r="I82" s="58">
        <v>1.0743800000000001</v>
      </c>
      <c r="J82" s="59">
        <v>1.0763000000000003</v>
      </c>
      <c r="K82" s="54">
        <v>1.0788</v>
      </c>
      <c r="L82" s="60">
        <v>1.1585939043999998</v>
      </c>
      <c r="M82" s="61">
        <v>1.1626014975999996</v>
      </c>
      <c r="N82" s="60">
        <v>1.1542923844000001</v>
      </c>
      <c r="O82" s="61">
        <v>1.1584216900000006</v>
      </c>
      <c r="P82" s="60">
        <v>1.1638094399999999</v>
      </c>
      <c r="Q82" s="36">
        <v>1.1605959711999998</v>
      </c>
      <c r="R82" s="23">
        <v>1.1564411444</v>
      </c>
      <c r="S82" s="36">
        <v>1.1585077940000001</v>
      </c>
      <c r="T82" s="23">
        <v>1.1584394912</v>
      </c>
      <c r="U82" s="36">
        <v>1.1605097120000001</v>
      </c>
      <c r="V82" s="23">
        <v>1.1563551940000003</v>
      </c>
      <c r="W82" s="36">
        <v>1.1611987439999998</v>
      </c>
      <c r="X82" s="23">
        <v>1.1632053119999999</v>
      </c>
      <c r="Y82" s="36">
        <v>1.1590411440000001</v>
      </c>
      <c r="Z82" s="23">
        <v>1.1611124400000004</v>
      </c>
      <c r="AA82" s="9">
        <f t="shared" si="11"/>
        <v>1.0774689449389323</v>
      </c>
      <c r="AB82" s="1">
        <f t="shared" si="8"/>
        <v>1.3310550610676763E-3</v>
      </c>
      <c r="AC82" s="9">
        <f t="shared" si="12"/>
        <v>-5.0629411764704368E-3</v>
      </c>
      <c r="AD82" s="2">
        <f t="shared" si="14"/>
        <v>1.7717075755938755E-6</v>
      </c>
      <c r="AE82" s="45">
        <f t="shared" si="14"/>
        <v>2.563337335639985E-5</v>
      </c>
      <c r="AF82" s="3">
        <f t="shared" si="15"/>
        <v>1.2338293113345164E-3</v>
      </c>
      <c r="AG82" s="17">
        <f t="shared" si="16"/>
        <v>1.2338293113345164E-3</v>
      </c>
      <c r="AH82" s="5">
        <f t="shared" si="13"/>
        <v>0.12338293113345164</v>
      </c>
    </row>
    <row r="83" spans="2:34" x14ac:dyDescent="0.3">
      <c r="B83" s="40">
        <v>45570</v>
      </c>
      <c r="C83" s="54">
        <v>1.0769</v>
      </c>
      <c r="D83" s="55">
        <v>1.0782</v>
      </c>
      <c r="E83" s="54">
        <v>1.079</v>
      </c>
      <c r="F83" s="55">
        <v>1.0760000000000001</v>
      </c>
      <c r="G83" s="58">
        <v>1.07528</v>
      </c>
      <c r="H83" s="59">
        <v>1.0787</v>
      </c>
      <c r="I83" s="58">
        <v>1.0736599999999998</v>
      </c>
      <c r="J83" s="59">
        <v>1.0760800000000001</v>
      </c>
      <c r="K83" s="54">
        <v>1.0769</v>
      </c>
      <c r="L83" s="60">
        <v>1.1562270783999999</v>
      </c>
      <c r="M83" s="61">
        <v>1.1635936899999999</v>
      </c>
      <c r="N83" s="60">
        <v>1.1527457955999996</v>
      </c>
      <c r="O83" s="61">
        <v>1.1579481664000004</v>
      </c>
      <c r="P83" s="60">
        <v>1.1597136099999998</v>
      </c>
      <c r="Q83" s="36">
        <v>1.159904536</v>
      </c>
      <c r="R83" s="23">
        <v>1.1544851247999999</v>
      </c>
      <c r="S83" s="36">
        <v>1.1570873024000001</v>
      </c>
      <c r="T83" s="23">
        <v>1.1581570419999998</v>
      </c>
      <c r="U83" s="36">
        <v>1.1607674960000001</v>
      </c>
      <c r="V83" s="23">
        <v>1.1553440528000001</v>
      </c>
      <c r="W83" s="36">
        <v>1.157969032</v>
      </c>
      <c r="X83" s="23">
        <v>1.1616520299999999</v>
      </c>
      <c r="Y83" s="36">
        <v>1.1562244539999997</v>
      </c>
      <c r="Z83" s="23">
        <v>1.1588305520000002</v>
      </c>
      <c r="AA83" s="9">
        <f t="shared" si="11"/>
        <v>1.0792835487250707</v>
      </c>
      <c r="AB83" s="1">
        <f t="shared" si="8"/>
        <v>-2.3835487250707388E-3</v>
      </c>
      <c r="AC83" s="9">
        <f t="shared" si="12"/>
        <v>-6.9629411764704496E-3</v>
      </c>
      <c r="AD83" s="2">
        <f t="shared" si="14"/>
        <v>5.6813045247863439E-6</v>
      </c>
      <c r="AE83" s="45">
        <f t="shared" si="14"/>
        <v>4.8482549826987692E-5</v>
      </c>
      <c r="AF83" s="3">
        <f t="shared" si="15"/>
        <v>-2.2133426734801177E-3</v>
      </c>
      <c r="AG83" s="17">
        <f t="shared" si="16"/>
        <v>2.2133426734801177E-3</v>
      </c>
      <c r="AH83" s="5">
        <f t="shared" si="13"/>
        <v>0.22133426734801176</v>
      </c>
    </row>
    <row r="84" spans="2:34" x14ac:dyDescent="0.3">
      <c r="B84" s="40">
        <v>45540</v>
      </c>
      <c r="C84" s="54">
        <v>1.0781000000000001</v>
      </c>
      <c r="D84" s="55">
        <v>1.0750999999999999</v>
      </c>
      <c r="E84" s="54">
        <v>1.0785</v>
      </c>
      <c r="F84" s="55">
        <v>1.0724</v>
      </c>
      <c r="G84" s="58">
        <v>1.0744800000000001</v>
      </c>
      <c r="H84" s="59">
        <v>1.07762</v>
      </c>
      <c r="I84" s="58">
        <v>1.0726599999999999</v>
      </c>
      <c r="J84" s="59">
        <v>1.0749600000000001</v>
      </c>
      <c r="K84" s="54">
        <v>1.0781000000000001</v>
      </c>
      <c r="L84" s="60">
        <v>1.1545072704000001</v>
      </c>
      <c r="M84" s="61">
        <v>1.1612648644000001</v>
      </c>
      <c r="N84" s="60">
        <v>1.1505994756</v>
      </c>
      <c r="O84" s="61">
        <v>1.1555390016000002</v>
      </c>
      <c r="P84" s="60">
        <v>1.16229961</v>
      </c>
      <c r="Q84" s="36">
        <v>1.1578811376000002</v>
      </c>
      <c r="R84" s="23">
        <v>1.1525517168000001</v>
      </c>
      <c r="S84" s="36">
        <v>1.1550230208000003</v>
      </c>
      <c r="T84" s="23">
        <v>1.1559198691999999</v>
      </c>
      <c r="U84" s="36">
        <v>1.1583983952000001</v>
      </c>
      <c r="V84" s="23">
        <v>1.1530665936000002</v>
      </c>
      <c r="W84" s="36">
        <v>1.1583968880000002</v>
      </c>
      <c r="X84" s="23">
        <v>1.1617821220000002</v>
      </c>
      <c r="Y84" s="36">
        <v>1.156434746</v>
      </c>
      <c r="Z84" s="23">
        <v>1.1589143760000002</v>
      </c>
      <c r="AA84" s="9">
        <f t="shared" si="11"/>
        <v>1.0775747718426558</v>
      </c>
      <c r="AB84" s="1">
        <f t="shared" si="8"/>
        <v>5.2522815734423745E-4</v>
      </c>
      <c r="AC84" s="9">
        <f t="shared" si="12"/>
        <v>-5.7629411764703597E-3</v>
      </c>
      <c r="AD84" s="2">
        <f t="shared" si="14"/>
        <v>2.7586461726722307E-7</v>
      </c>
      <c r="AE84" s="45">
        <f t="shared" si="14"/>
        <v>3.3211491003457576E-5</v>
      </c>
      <c r="AF84" s="3">
        <f t="shared" si="15"/>
        <v>4.8717944285709807E-4</v>
      </c>
      <c r="AG84" s="17">
        <f t="shared" si="16"/>
        <v>4.8717944285709807E-4</v>
      </c>
      <c r="AH84" s="5">
        <f t="shared" si="13"/>
        <v>4.8717944285709809E-2</v>
      </c>
    </row>
    <row r="85" spans="2:34" x14ac:dyDescent="0.3">
      <c r="B85" s="40">
        <v>45509</v>
      </c>
      <c r="C85" s="54">
        <v>1.0745</v>
      </c>
      <c r="D85" s="55">
        <v>1.0753999999999999</v>
      </c>
      <c r="E85" s="54">
        <v>1.0758000000000001</v>
      </c>
      <c r="F85" s="55">
        <v>1.0733999999999999</v>
      </c>
      <c r="G85" s="58">
        <v>1.0726800000000001</v>
      </c>
      <c r="H85" s="59">
        <v>1.0771199999999999</v>
      </c>
      <c r="I85" s="58">
        <v>1.0709599999999999</v>
      </c>
      <c r="J85" s="59">
        <v>1.0742400000000001</v>
      </c>
      <c r="K85" s="54">
        <v>1.0745</v>
      </c>
      <c r="L85" s="60">
        <v>1.1506423824000003</v>
      </c>
      <c r="M85" s="61">
        <v>1.1601874943999997</v>
      </c>
      <c r="N85" s="60">
        <v>1.1469553215999999</v>
      </c>
      <c r="O85" s="61">
        <v>1.1539915776000003</v>
      </c>
      <c r="P85" s="60">
        <v>1.15455025</v>
      </c>
      <c r="Q85" s="36">
        <v>1.1554050815999999</v>
      </c>
      <c r="R85" s="23">
        <v>1.1487973728</v>
      </c>
      <c r="S85" s="36">
        <v>1.1523157632000001</v>
      </c>
      <c r="T85" s="23">
        <v>1.1535524351999997</v>
      </c>
      <c r="U85" s="36">
        <v>1.1570853887999999</v>
      </c>
      <c r="V85" s="23">
        <v>1.1504680704000001</v>
      </c>
      <c r="W85" s="36">
        <v>1.1525946600000001</v>
      </c>
      <c r="X85" s="23">
        <v>1.1573654399999997</v>
      </c>
      <c r="Y85" s="36">
        <v>1.15074652</v>
      </c>
      <c r="Z85" s="23">
        <v>1.1542708800000001</v>
      </c>
      <c r="AA85" s="9">
        <f t="shared" si="11"/>
        <v>1.0790238745169043</v>
      </c>
      <c r="AB85" s="1">
        <f t="shared" si="8"/>
        <v>-4.5238745169042804E-3</v>
      </c>
      <c r="AC85" s="9">
        <f t="shared" si="12"/>
        <v>-9.3629411764704074E-3</v>
      </c>
      <c r="AD85" s="2">
        <f t="shared" si="14"/>
        <v>2.0465440644695938E-5</v>
      </c>
      <c r="AE85" s="45">
        <f t="shared" si="14"/>
        <v>8.7664667474045049E-5</v>
      </c>
      <c r="AF85" s="3">
        <f t="shared" si="15"/>
        <v>-4.2102136034474456E-3</v>
      </c>
      <c r="AG85" s="17">
        <f t="shared" si="16"/>
        <v>4.2102136034474456E-3</v>
      </c>
      <c r="AH85" s="5">
        <f t="shared" si="13"/>
        <v>0.42102136034474458</v>
      </c>
    </row>
    <row r="86" spans="2:34" x14ac:dyDescent="0.3">
      <c r="B86" s="40">
        <v>45478</v>
      </c>
      <c r="C86" s="54">
        <v>1.0751999999999999</v>
      </c>
      <c r="D86" s="55">
        <v>1.077</v>
      </c>
      <c r="E86" s="54">
        <v>1.0788</v>
      </c>
      <c r="F86" s="55">
        <v>1.0747</v>
      </c>
      <c r="G86" s="58">
        <v>1.07176</v>
      </c>
      <c r="H86" s="59">
        <v>1.0760799999999999</v>
      </c>
      <c r="I86" s="58">
        <v>1.0692999999999999</v>
      </c>
      <c r="J86" s="59">
        <v>1.0725000000000002</v>
      </c>
      <c r="K86" s="54">
        <v>1.0751999999999999</v>
      </c>
      <c r="L86" s="60">
        <v>1.1486694976</v>
      </c>
      <c r="M86" s="61">
        <v>1.1579481663999998</v>
      </c>
      <c r="N86" s="60">
        <v>1.1434024899999997</v>
      </c>
      <c r="O86" s="61">
        <v>1.1502562500000004</v>
      </c>
      <c r="P86" s="60">
        <v>1.1560550399999998</v>
      </c>
      <c r="Q86" s="36">
        <v>1.1532995008</v>
      </c>
      <c r="R86" s="23">
        <v>1.1460329679999999</v>
      </c>
      <c r="S86" s="36">
        <v>1.1494626000000003</v>
      </c>
      <c r="T86" s="23">
        <v>1.1506523439999998</v>
      </c>
      <c r="U86" s="36">
        <v>1.1540958000000001</v>
      </c>
      <c r="V86" s="23">
        <v>1.1468242500000001</v>
      </c>
      <c r="W86" s="36">
        <v>1.152356352</v>
      </c>
      <c r="X86" s="23">
        <v>1.1570012159999998</v>
      </c>
      <c r="Y86" s="36">
        <v>1.1497113599999997</v>
      </c>
      <c r="Z86" s="23">
        <v>1.1531520000000002</v>
      </c>
      <c r="AA86" s="9">
        <f t="shared" si="11"/>
        <v>1.0756777447041408</v>
      </c>
      <c r="AB86" s="1">
        <f t="shared" si="8"/>
        <v>-4.777447041408589E-4</v>
      </c>
      <c r="AC86" s="9">
        <f t="shared" si="12"/>
        <v>-8.6629411764704845E-3</v>
      </c>
      <c r="AD86" s="2">
        <f t="shared" si="14"/>
        <v>2.282400023346368E-7</v>
      </c>
      <c r="AE86" s="45">
        <f t="shared" si="14"/>
        <v>7.5046549826987826E-5</v>
      </c>
      <c r="AF86" s="3">
        <f t="shared" si="15"/>
        <v>-4.4433101203576909E-4</v>
      </c>
      <c r="AG86" s="17">
        <f t="shared" si="16"/>
        <v>4.4433101203576909E-4</v>
      </c>
      <c r="AH86" s="5">
        <f t="shared" si="13"/>
        <v>4.4433101203576908E-2</v>
      </c>
    </row>
    <row r="87" spans="2:34" x14ac:dyDescent="0.3">
      <c r="B87" s="40">
        <v>45448</v>
      </c>
      <c r="C87" s="54">
        <v>1.0768</v>
      </c>
      <c r="D87" s="55">
        <v>1.0762</v>
      </c>
      <c r="E87" s="54">
        <v>1.0790999999999999</v>
      </c>
      <c r="F87" s="55">
        <v>1.0753999999999999</v>
      </c>
      <c r="G87" s="58">
        <v>1.0704199999999999</v>
      </c>
      <c r="H87" s="59">
        <v>1.0749399999999998</v>
      </c>
      <c r="I87" s="58">
        <v>1.06802</v>
      </c>
      <c r="J87" s="59">
        <v>1.07152</v>
      </c>
      <c r="K87" s="54">
        <v>1.0768</v>
      </c>
      <c r="L87" s="60">
        <v>1.1457989763999998</v>
      </c>
      <c r="M87" s="61">
        <v>1.1554960035999995</v>
      </c>
      <c r="N87" s="60">
        <v>1.1406667203999998</v>
      </c>
      <c r="O87" s="61">
        <v>1.1481551104000001</v>
      </c>
      <c r="P87" s="60">
        <v>1.15949824</v>
      </c>
      <c r="Q87" s="36">
        <v>1.1506372747999998</v>
      </c>
      <c r="R87" s="23">
        <v>1.1432299683999998</v>
      </c>
      <c r="S87" s="36">
        <v>1.1469764383999999</v>
      </c>
      <c r="T87" s="23">
        <v>1.1480574187999997</v>
      </c>
      <c r="U87" s="36">
        <v>1.1518197087999997</v>
      </c>
      <c r="V87" s="23">
        <v>1.1444047904000001</v>
      </c>
      <c r="W87" s="36">
        <v>1.1526282559999999</v>
      </c>
      <c r="X87" s="23">
        <v>1.1574953919999997</v>
      </c>
      <c r="Y87" s="36">
        <v>1.1500439359999999</v>
      </c>
      <c r="Z87" s="23">
        <v>1.1538127360000001</v>
      </c>
      <c r="AA87" s="9">
        <f t="shared" si="11"/>
        <v>1.0754506875844538</v>
      </c>
      <c r="AB87" s="1">
        <f t="shared" si="8"/>
        <v>1.3493124155461445E-3</v>
      </c>
      <c r="AC87" s="9">
        <f t="shared" si="12"/>
        <v>-7.0629411764704386E-3</v>
      </c>
      <c r="AD87" s="2">
        <f t="shared" si="14"/>
        <v>1.8206439947469712E-6</v>
      </c>
      <c r="AE87" s="45">
        <f t="shared" si="14"/>
        <v>4.9885138062281626E-5</v>
      </c>
      <c r="AF87" s="3">
        <f t="shared" si="15"/>
        <v>1.253076165997534E-3</v>
      </c>
      <c r="AG87" s="17">
        <f t="shared" si="16"/>
        <v>1.253076165997534E-3</v>
      </c>
      <c r="AH87" s="5">
        <f t="shared" si="13"/>
        <v>0.1253076165997534</v>
      </c>
    </row>
    <row r="88" spans="2:34" x14ac:dyDescent="0.3">
      <c r="B88" s="40">
        <v>45356</v>
      </c>
      <c r="C88" s="54">
        <v>1.0758000000000001</v>
      </c>
      <c r="D88" s="55">
        <v>1.0727</v>
      </c>
      <c r="E88" s="54">
        <v>1.0812999999999999</v>
      </c>
      <c r="F88" s="55">
        <v>1.0724</v>
      </c>
      <c r="G88" s="58">
        <v>1.0705199999999999</v>
      </c>
      <c r="H88" s="59">
        <v>1.07376</v>
      </c>
      <c r="I88" s="58">
        <v>1.0670199999999999</v>
      </c>
      <c r="J88" s="59">
        <v>1.0701999999999998</v>
      </c>
      <c r="K88" s="54">
        <v>1.0758000000000001</v>
      </c>
      <c r="L88" s="60">
        <v>1.1460130703999998</v>
      </c>
      <c r="M88" s="61">
        <v>1.1529605376000001</v>
      </c>
      <c r="N88" s="60">
        <v>1.1385316803999996</v>
      </c>
      <c r="O88" s="61">
        <v>1.1453280399999997</v>
      </c>
      <c r="P88" s="60">
        <v>1.1573456400000002</v>
      </c>
      <c r="Q88" s="36">
        <v>1.1494815551999999</v>
      </c>
      <c r="R88" s="23">
        <v>1.1422662503999998</v>
      </c>
      <c r="S88" s="36">
        <v>1.1456705039999997</v>
      </c>
      <c r="T88" s="23">
        <v>1.1457233951999999</v>
      </c>
      <c r="U88" s="36">
        <v>1.1491379519999998</v>
      </c>
      <c r="V88" s="23">
        <v>1.1419248039999996</v>
      </c>
      <c r="W88" s="36">
        <v>1.1516654159999999</v>
      </c>
      <c r="X88" s="23">
        <v>1.1551510080000003</v>
      </c>
      <c r="Y88" s="36">
        <v>1.147900116</v>
      </c>
      <c r="Z88" s="23">
        <v>1.15132116</v>
      </c>
      <c r="AA88" s="9">
        <f t="shared" si="11"/>
        <v>1.0710268246556802</v>
      </c>
      <c r="AB88" s="1">
        <f t="shared" si="8"/>
        <v>4.7731753443198688E-3</v>
      </c>
      <c r="AC88" s="9">
        <f t="shared" si="12"/>
        <v>-8.0629411764703285E-3</v>
      </c>
      <c r="AD88" s="2">
        <f t="shared" si="14"/>
        <v>2.27832028676231E-5</v>
      </c>
      <c r="AE88" s="45">
        <f t="shared" si="14"/>
        <v>6.5011020415220721E-5</v>
      </c>
      <c r="AF88" s="3">
        <f t="shared" si="15"/>
        <v>4.4368612607546647E-3</v>
      </c>
      <c r="AG88" s="17">
        <f t="shared" si="16"/>
        <v>4.4368612607546647E-3</v>
      </c>
      <c r="AH88" s="5">
        <f t="shared" si="13"/>
        <v>0.44368612607546648</v>
      </c>
    </row>
    <row r="89" spans="2:34" x14ac:dyDescent="0.3">
      <c r="B89" s="40">
        <v>45327</v>
      </c>
      <c r="C89" s="54">
        <v>1.0725</v>
      </c>
      <c r="D89" s="55">
        <v>1.0710999999999999</v>
      </c>
      <c r="E89" s="54">
        <v>1.0730999999999999</v>
      </c>
      <c r="F89" s="55">
        <v>1.0673999999999999</v>
      </c>
      <c r="G89" s="58">
        <v>1.0702799999999999</v>
      </c>
      <c r="H89" s="59">
        <v>1.0739399999999999</v>
      </c>
      <c r="I89" s="58">
        <v>1.0670999999999999</v>
      </c>
      <c r="J89" s="59">
        <v>1.0702799999999999</v>
      </c>
      <c r="K89" s="54">
        <v>1.0725</v>
      </c>
      <c r="L89" s="60">
        <v>1.1454992783999998</v>
      </c>
      <c r="M89" s="61">
        <v>1.1533471235999997</v>
      </c>
      <c r="N89" s="60">
        <v>1.1387024099999998</v>
      </c>
      <c r="O89" s="61">
        <v>1.1454992783999998</v>
      </c>
      <c r="P89" s="60">
        <v>1.15025625</v>
      </c>
      <c r="Q89" s="36">
        <v>1.1494165031999999</v>
      </c>
      <c r="R89" s="23">
        <v>1.1420957879999998</v>
      </c>
      <c r="S89" s="36">
        <v>1.1454992783999998</v>
      </c>
      <c r="T89" s="23">
        <v>1.1460013739999999</v>
      </c>
      <c r="U89" s="36">
        <v>1.1494165031999999</v>
      </c>
      <c r="V89" s="23">
        <v>1.1420957879999998</v>
      </c>
      <c r="W89" s="36">
        <v>1.1478752999999999</v>
      </c>
      <c r="X89" s="23">
        <v>1.15180065</v>
      </c>
      <c r="Y89" s="36">
        <v>1.14446475</v>
      </c>
      <c r="Z89" s="23">
        <v>1.1478752999999999</v>
      </c>
      <c r="AA89" s="9">
        <f t="shared" si="11"/>
        <v>1.0719032123786882</v>
      </c>
      <c r="AB89" s="1">
        <f t="shared" si="8"/>
        <v>5.9678762131176732E-4</v>
      </c>
      <c r="AC89" s="9">
        <f t="shared" si="12"/>
        <v>-1.1362941176470409E-2</v>
      </c>
      <c r="AD89" s="2">
        <f t="shared" si="14"/>
        <v>3.5615546495095742E-7</v>
      </c>
      <c r="AE89" s="45">
        <f t="shared" si="14"/>
        <v>1.2911643217992672E-4</v>
      </c>
      <c r="AF89" s="3">
        <f t="shared" si="15"/>
        <v>5.5644533455642643E-4</v>
      </c>
      <c r="AG89" s="17">
        <f t="shared" si="16"/>
        <v>5.5644533455642643E-4</v>
      </c>
      <c r="AH89" s="5">
        <f t="shared" si="13"/>
        <v>5.5644533455642645E-2</v>
      </c>
    </row>
    <row r="90" spans="2:34" x14ac:dyDescent="0.3">
      <c r="B90" s="40">
        <v>45296</v>
      </c>
      <c r="C90" s="54">
        <v>1.0709</v>
      </c>
      <c r="D90" s="55">
        <v>1.0664</v>
      </c>
      <c r="E90" s="54">
        <v>1.0732999999999999</v>
      </c>
      <c r="F90" s="55">
        <v>1.0649</v>
      </c>
      <c r="G90" s="58">
        <v>1.0710599999999999</v>
      </c>
      <c r="H90" s="59">
        <v>1.0735800000000002</v>
      </c>
      <c r="I90" s="58">
        <v>1.0676600000000001</v>
      </c>
      <c r="J90" s="59">
        <v>1.0700400000000001</v>
      </c>
      <c r="K90" s="54">
        <v>1.0709</v>
      </c>
      <c r="L90" s="60">
        <v>1.1471695235999997</v>
      </c>
      <c r="M90" s="61">
        <v>1.1525740164000005</v>
      </c>
      <c r="N90" s="60">
        <v>1.1398978756000002</v>
      </c>
      <c r="O90" s="61">
        <v>1.1449856016000002</v>
      </c>
      <c r="P90" s="60">
        <v>1.1468268099999999</v>
      </c>
      <c r="Q90" s="36">
        <v>1.1498685948</v>
      </c>
      <c r="R90" s="23">
        <v>1.1435279195999999</v>
      </c>
      <c r="S90" s="36">
        <v>1.1460770424</v>
      </c>
      <c r="T90" s="23">
        <v>1.1462184228000003</v>
      </c>
      <c r="U90" s="36">
        <v>1.1487735432000004</v>
      </c>
      <c r="V90" s="23">
        <v>1.1424389064000002</v>
      </c>
      <c r="W90" s="36">
        <v>1.1469981539999998</v>
      </c>
      <c r="X90" s="23">
        <v>1.1496968220000001</v>
      </c>
      <c r="Y90" s="36">
        <v>1.143357094</v>
      </c>
      <c r="Z90" s="23">
        <v>1.1459058360000001</v>
      </c>
      <c r="AA90" s="9">
        <f t="shared" si="11"/>
        <v>1.0696508149610726</v>
      </c>
      <c r="AB90" s="1">
        <f t="shared" si="8"/>
        <v>1.2491850389273473E-3</v>
      </c>
      <c r="AC90" s="9">
        <f t="shared" si="12"/>
        <v>-1.2962941176470455E-2</v>
      </c>
      <c r="AD90" s="2">
        <f t="shared" si="14"/>
        <v>1.5604632614799182E-6</v>
      </c>
      <c r="AE90" s="45">
        <f t="shared" si="14"/>
        <v>1.6803784394463323E-4</v>
      </c>
      <c r="AF90" s="3">
        <f t="shared" si="15"/>
        <v>1.1664815005391234E-3</v>
      </c>
      <c r="AG90" s="17">
        <f t="shared" si="16"/>
        <v>1.1664815005391234E-3</v>
      </c>
      <c r="AH90" s="5">
        <f t="shared" si="13"/>
        <v>0.11664815005391234</v>
      </c>
    </row>
    <row r="91" spans="2:34" x14ac:dyDescent="0.3">
      <c r="B91" s="9" t="s">
        <v>106</v>
      </c>
      <c r="C91" s="54">
        <v>1.0665</v>
      </c>
      <c r="D91" s="55">
        <v>1.0724</v>
      </c>
      <c r="E91" s="54">
        <v>1.0736000000000001</v>
      </c>
      <c r="F91" s="55">
        <v>1.0664</v>
      </c>
      <c r="G91" s="58">
        <v>1.06968</v>
      </c>
      <c r="H91" s="59">
        <v>1.0730999999999999</v>
      </c>
      <c r="I91" s="58">
        <v>1.0671400000000002</v>
      </c>
      <c r="J91" s="59">
        <v>1.0707200000000001</v>
      </c>
      <c r="K91" s="54">
        <v>1.0665</v>
      </c>
      <c r="L91" s="60">
        <v>1.1442153023999999</v>
      </c>
      <c r="M91" s="61">
        <v>1.1515436099999998</v>
      </c>
      <c r="N91" s="60">
        <v>1.1387877796000003</v>
      </c>
      <c r="O91" s="61">
        <v>1.1464413184000002</v>
      </c>
      <c r="P91" s="60">
        <v>1.13742225</v>
      </c>
      <c r="Q91" s="36">
        <v>1.1478736079999998</v>
      </c>
      <c r="R91" s="23">
        <v>1.1414983152000002</v>
      </c>
      <c r="S91" s="36">
        <v>1.1453277696000002</v>
      </c>
      <c r="T91" s="23">
        <v>1.1451479340000001</v>
      </c>
      <c r="U91" s="36">
        <v>1.1489896320000001</v>
      </c>
      <c r="V91" s="23">
        <v>1.1426081408000004</v>
      </c>
      <c r="W91" s="36">
        <v>1.1408137199999999</v>
      </c>
      <c r="X91" s="23">
        <v>1.1444611499999999</v>
      </c>
      <c r="Y91" s="36">
        <v>1.1381048100000002</v>
      </c>
      <c r="Z91" s="23">
        <v>1.1419228800000001</v>
      </c>
      <c r="AA91" s="9">
        <f t="shared" si="11"/>
        <v>1.0742761416697615</v>
      </c>
      <c r="AB91" s="1">
        <f t="shared" si="8"/>
        <v>-7.7761416697614827E-3</v>
      </c>
      <c r="AC91" s="9">
        <f t="shared" si="12"/>
        <v>-1.7362941176470414E-2</v>
      </c>
      <c r="AD91" s="2">
        <f t="shared" si="14"/>
        <v>6.0468379268200902E-5</v>
      </c>
      <c r="AE91" s="45">
        <f t="shared" si="14"/>
        <v>3.0147172629757182E-4</v>
      </c>
      <c r="AF91" s="3">
        <f t="shared" si="15"/>
        <v>-7.2912720766633689E-3</v>
      </c>
      <c r="AG91" s="17">
        <f t="shared" si="16"/>
        <v>7.2912720766633689E-3</v>
      </c>
      <c r="AH91" s="5">
        <f t="shared" si="13"/>
        <v>0.72912720766633687</v>
      </c>
    </row>
    <row r="92" spans="2:34" x14ac:dyDescent="0.3">
      <c r="B92" s="9" t="s">
        <v>107</v>
      </c>
      <c r="C92" s="54">
        <v>1.0719000000000001</v>
      </c>
      <c r="D92" s="55">
        <v>1.0694999999999999</v>
      </c>
      <c r="E92" s="54">
        <v>1.0733999999999999</v>
      </c>
      <c r="F92" s="55">
        <v>1.069</v>
      </c>
      <c r="G92" s="58">
        <v>1.0689</v>
      </c>
      <c r="H92" s="59">
        <v>1.0718399999999999</v>
      </c>
      <c r="I92" s="58">
        <v>1.0658000000000001</v>
      </c>
      <c r="J92" s="59">
        <v>1.0694200000000003</v>
      </c>
      <c r="K92" s="54">
        <v>1.0719000000000001</v>
      </c>
      <c r="L92" s="60">
        <v>1.1425472099999998</v>
      </c>
      <c r="M92" s="61">
        <v>1.1488409855999997</v>
      </c>
      <c r="N92" s="60">
        <v>1.1359296400000001</v>
      </c>
      <c r="O92" s="61">
        <v>1.1436591364000006</v>
      </c>
      <c r="P92" s="60">
        <v>1.1489696100000002</v>
      </c>
      <c r="Q92" s="36">
        <v>1.1456897759999998</v>
      </c>
      <c r="R92" s="23">
        <v>1.1392336199999999</v>
      </c>
      <c r="S92" s="36">
        <v>1.1431030380000002</v>
      </c>
      <c r="T92" s="23">
        <v>1.1423670720000001</v>
      </c>
      <c r="U92" s="36">
        <v>1.1462471328000001</v>
      </c>
      <c r="V92" s="23">
        <v>1.1397878360000004</v>
      </c>
      <c r="W92" s="36">
        <v>1.14575391</v>
      </c>
      <c r="X92" s="23">
        <v>1.1489052959999999</v>
      </c>
      <c r="Y92" s="36">
        <v>1.1424310200000001</v>
      </c>
      <c r="Z92" s="23">
        <v>1.1463112980000003</v>
      </c>
      <c r="AA92" s="9">
        <f t="shared" si="11"/>
        <v>1.0718221541716204</v>
      </c>
      <c r="AB92" s="1">
        <f t="shared" si="8"/>
        <v>7.7845828379663473E-5</v>
      </c>
      <c r="AC92" s="9">
        <f t="shared" si="12"/>
        <v>-1.1962941176470343E-2</v>
      </c>
      <c r="AD92" s="2">
        <f t="shared" si="14"/>
        <v>6.0599729961160188E-9</v>
      </c>
      <c r="AE92" s="45">
        <f t="shared" si="14"/>
        <v>1.4311196159168965E-4</v>
      </c>
      <c r="AF92" s="3">
        <f t="shared" si="15"/>
        <v>7.2624151860867117E-5</v>
      </c>
      <c r="AG92" s="17">
        <f t="shared" si="16"/>
        <v>7.2624151860867117E-5</v>
      </c>
      <c r="AH92" s="5">
        <f t="shared" si="13"/>
        <v>7.2624151860867115E-3</v>
      </c>
    </row>
    <row r="93" spans="2:34" x14ac:dyDescent="0.3">
      <c r="B93" s="9" t="s">
        <v>108</v>
      </c>
      <c r="C93" s="54">
        <v>1.0691999999999999</v>
      </c>
      <c r="D93" s="55">
        <v>1.0731999999999999</v>
      </c>
      <c r="E93" s="54">
        <v>1.0753999999999999</v>
      </c>
      <c r="F93" s="55">
        <v>1.0673999999999999</v>
      </c>
      <c r="G93" s="58">
        <v>1.0671599999999999</v>
      </c>
      <c r="H93" s="59">
        <v>1.0703200000000002</v>
      </c>
      <c r="I93" s="58">
        <v>1.0645200000000001</v>
      </c>
      <c r="J93" s="59">
        <v>1.0686599999999999</v>
      </c>
      <c r="K93" s="54">
        <v>1.0691999999999999</v>
      </c>
      <c r="L93" s="60">
        <v>1.1388304655999997</v>
      </c>
      <c r="M93" s="61">
        <v>1.1455849024000004</v>
      </c>
      <c r="N93" s="60">
        <v>1.1332028304000004</v>
      </c>
      <c r="O93" s="61">
        <v>1.1420341956</v>
      </c>
      <c r="P93" s="60">
        <v>1.1431886399999998</v>
      </c>
      <c r="Q93" s="36">
        <v>1.1422026912000001</v>
      </c>
      <c r="R93" s="23">
        <v>1.1360131632000001</v>
      </c>
      <c r="S93" s="36">
        <v>1.1404312055999999</v>
      </c>
      <c r="T93" s="23">
        <v>1.1393770464000004</v>
      </c>
      <c r="U93" s="36">
        <v>1.1438081712000001</v>
      </c>
      <c r="V93" s="23">
        <v>1.1376099432</v>
      </c>
      <c r="W93" s="36">
        <v>1.1410074719999999</v>
      </c>
      <c r="X93" s="23">
        <v>1.144386144</v>
      </c>
      <c r="Y93" s="36">
        <v>1.1381847840000001</v>
      </c>
      <c r="Z93" s="23">
        <v>1.1426112719999999</v>
      </c>
      <c r="AA93" s="9">
        <f t="shared" si="11"/>
        <v>1.0730230828707215</v>
      </c>
      <c r="AB93" s="1">
        <f t="shared" si="8"/>
        <v>-3.8230828707215281E-3</v>
      </c>
      <c r="AC93" s="9">
        <f t="shared" si="12"/>
        <v>-1.466294117647049E-2</v>
      </c>
      <c r="AD93" s="2">
        <f t="shared" si="14"/>
        <v>1.4615962636404361E-5</v>
      </c>
      <c r="AE93" s="45">
        <f t="shared" si="14"/>
        <v>2.1500184394463378E-4</v>
      </c>
      <c r="AF93" s="3">
        <f t="shared" si="15"/>
        <v>-3.5756480272367457E-3</v>
      </c>
      <c r="AG93" s="17">
        <f t="shared" si="16"/>
        <v>3.5756480272367457E-3</v>
      </c>
      <c r="AH93" s="5">
        <f t="shared" si="13"/>
        <v>0.35756480272367458</v>
      </c>
    </row>
    <row r="94" spans="2:34" x14ac:dyDescent="0.3">
      <c r="B94" s="9" t="s">
        <v>109</v>
      </c>
      <c r="C94" s="54">
        <v>1.0729</v>
      </c>
      <c r="D94" s="55">
        <v>1.0699000000000001</v>
      </c>
      <c r="E94" s="54">
        <v>1.0740000000000001</v>
      </c>
      <c r="F94" s="55">
        <v>1.0678000000000001</v>
      </c>
      <c r="G94" s="58">
        <v>1.0666199999999999</v>
      </c>
      <c r="H94" s="59">
        <v>1.0693199999999998</v>
      </c>
      <c r="I94" s="58">
        <v>1.0637799999999999</v>
      </c>
      <c r="J94" s="59">
        <v>1.0669400000000002</v>
      </c>
      <c r="K94" s="54">
        <v>1.0729</v>
      </c>
      <c r="L94" s="60">
        <v>1.1376782243999999</v>
      </c>
      <c r="M94" s="61">
        <v>1.1434452623999996</v>
      </c>
      <c r="N94" s="60">
        <v>1.1316278883999999</v>
      </c>
      <c r="O94" s="61">
        <v>1.1383609636000005</v>
      </c>
      <c r="P94" s="60">
        <v>1.1511144099999999</v>
      </c>
      <c r="Q94" s="36">
        <v>1.1405580983999997</v>
      </c>
      <c r="R94" s="23">
        <v>1.1346490235999998</v>
      </c>
      <c r="S94" s="36">
        <v>1.1380195428000002</v>
      </c>
      <c r="T94" s="23">
        <v>1.1375212295999997</v>
      </c>
      <c r="U94" s="36">
        <v>1.1409002807999999</v>
      </c>
      <c r="V94" s="23">
        <v>1.1349894332000001</v>
      </c>
      <c r="W94" s="36">
        <v>1.1443765979999998</v>
      </c>
      <c r="X94" s="23">
        <v>1.1472734279999999</v>
      </c>
      <c r="Y94" s="36">
        <v>1.1413295619999999</v>
      </c>
      <c r="Z94" s="23">
        <v>1.1447199260000003</v>
      </c>
      <c r="AA94" s="9">
        <f t="shared" si="11"/>
        <v>1.0693611818057807</v>
      </c>
      <c r="AB94" s="1">
        <f t="shared" si="8"/>
        <v>3.5388181942193064E-3</v>
      </c>
      <c r="AC94" s="9">
        <f t="shared" si="12"/>
        <v>-1.0962941176470453E-2</v>
      </c>
      <c r="AD94" s="2">
        <f t="shared" si="14"/>
        <v>1.2523234211737593E-5</v>
      </c>
      <c r="AE94" s="45">
        <f t="shared" si="14"/>
        <v>1.2018607923875136E-4</v>
      </c>
      <c r="AF94" s="3">
        <f t="shared" si="15"/>
        <v>3.2983672236175845E-3</v>
      </c>
      <c r="AG94" s="17">
        <f t="shared" si="16"/>
        <v>3.2983672236175845E-3</v>
      </c>
      <c r="AH94" s="5">
        <f t="shared" si="13"/>
        <v>0.32983672236175843</v>
      </c>
    </row>
    <row r="95" spans="2:34" x14ac:dyDescent="0.3">
      <c r="B95" s="9" t="s">
        <v>110</v>
      </c>
      <c r="C95" s="54">
        <v>1.0697000000000001</v>
      </c>
      <c r="D95" s="55">
        <v>1.0703</v>
      </c>
      <c r="E95" s="54">
        <v>1.0714999999999999</v>
      </c>
      <c r="F95" s="55">
        <v>1.0677000000000001</v>
      </c>
      <c r="G95" s="58">
        <v>1.06494</v>
      </c>
      <c r="H95" s="59">
        <v>1.0686199999999999</v>
      </c>
      <c r="I95" s="58">
        <v>1.0623400000000001</v>
      </c>
      <c r="J95" s="59">
        <v>1.0664199999999999</v>
      </c>
      <c r="K95" s="54">
        <v>1.0697000000000001</v>
      </c>
      <c r="L95" s="60">
        <v>1.1340972036000001</v>
      </c>
      <c r="M95" s="61">
        <v>1.1419487043999998</v>
      </c>
      <c r="N95" s="60">
        <v>1.1285662756000001</v>
      </c>
      <c r="O95" s="61">
        <v>1.1372516163999999</v>
      </c>
      <c r="P95" s="60">
        <v>1.1442580900000001</v>
      </c>
      <c r="Q95" s="36">
        <v>1.1380161827999999</v>
      </c>
      <c r="R95" s="23">
        <v>1.1313283596000001</v>
      </c>
      <c r="S95" s="36">
        <v>1.1356733148</v>
      </c>
      <c r="T95" s="23">
        <v>1.1352377707999999</v>
      </c>
      <c r="U95" s="36">
        <v>1.1395977403999997</v>
      </c>
      <c r="V95" s="23">
        <v>1.1329006228</v>
      </c>
      <c r="W95" s="36">
        <v>1.139166318</v>
      </c>
      <c r="X95" s="23">
        <v>1.1431028139999999</v>
      </c>
      <c r="Y95" s="36">
        <v>1.1363850980000001</v>
      </c>
      <c r="Z95" s="23">
        <v>1.1407494739999999</v>
      </c>
      <c r="AA95" s="9">
        <f t="shared" si="11"/>
        <v>1.0711221580042696</v>
      </c>
      <c r="AB95" s="1">
        <f t="shared" si="8"/>
        <v>-1.4221580042694804E-3</v>
      </c>
      <c r="AC95" s="9">
        <f t="shared" si="12"/>
        <v>-1.4162941176470323E-2</v>
      </c>
      <c r="AD95" s="2">
        <f t="shared" si="14"/>
        <v>2.0225333891077515E-6</v>
      </c>
      <c r="AE95" s="45">
        <f t="shared" si="14"/>
        <v>2.0058890276815857E-4</v>
      </c>
      <c r="AF95" s="3">
        <f t="shared" si="15"/>
        <v>-1.3294923850327011E-3</v>
      </c>
      <c r="AG95" s="17">
        <f t="shared" si="16"/>
        <v>1.3294923850327011E-3</v>
      </c>
      <c r="AH95" s="5">
        <f t="shared" si="13"/>
        <v>0.13294923850327012</v>
      </c>
    </row>
    <row r="96" spans="2:34" x14ac:dyDescent="0.3">
      <c r="B96" s="9" t="s">
        <v>111</v>
      </c>
      <c r="C96" s="54">
        <v>1.0699000000000001</v>
      </c>
      <c r="D96" s="55">
        <v>1.0654999999999999</v>
      </c>
      <c r="E96" s="54">
        <v>1.0711999999999999</v>
      </c>
      <c r="F96" s="55">
        <v>1.0638000000000001</v>
      </c>
      <c r="G96" s="58">
        <v>1.0643199999999999</v>
      </c>
      <c r="H96" s="59">
        <v>1.0674600000000001</v>
      </c>
      <c r="I96" s="58">
        <v>1.0616000000000001</v>
      </c>
      <c r="J96" s="59">
        <v>1.0647800000000001</v>
      </c>
      <c r="K96" s="54">
        <v>1.0699000000000001</v>
      </c>
      <c r="L96" s="60">
        <v>1.1327770623999998</v>
      </c>
      <c r="M96" s="61">
        <v>1.1394708516000001</v>
      </c>
      <c r="N96" s="60">
        <v>1.1269945600000002</v>
      </c>
      <c r="O96" s="61">
        <v>1.1337564484000002</v>
      </c>
      <c r="P96" s="60">
        <v>1.1446860100000003</v>
      </c>
      <c r="Q96" s="36">
        <v>1.1361190271999999</v>
      </c>
      <c r="R96" s="23">
        <v>1.129882112</v>
      </c>
      <c r="S96" s="36">
        <v>1.1332666495999999</v>
      </c>
      <c r="T96" s="23">
        <v>1.1332155360000002</v>
      </c>
      <c r="U96" s="36">
        <v>1.1366100588000001</v>
      </c>
      <c r="V96" s="23">
        <v>1.1303704480000001</v>
      </c>
      <c r="W96" s="36">
        <v>1.1387159680000001</v>
      </c>
      <c r="X96" s="23">
        <v>1.1420754540000002</v>
      </c>
      <c r="Y96" s="36">
        <v>1.1358058400000002</v>
      </c>
      <c r="Z96" s="23">
        <v>1.1392081220000001</v>
      </c>
      <c r="AA96" s="9">
        <f t="shared" si="11"/>
        <v>1.0678146974445477</v>
      </c>
      <c r="AB96" s="1">
        <f t="shared" si="8"/>
        <v>2.0853025554523619E-3</v>
      </c>
      <c r="AC96" s="9">
        <f t="shared" si="12"/>
        <v>-1.3962941176470345E-2</v>
      </c>
      <c r="AD96" s="2">
        <f t="shared" si="14"/>
        <v>4.348486747776151E-6</v>
      </c>
      <c r="AE96" s="45">
        <f t="shared" si="14"/>
        <v>1.9496372629757106E-4</v>
      </c>
      <c r="AF96" s="3">
        <f t="shared" si="15"/>
        <v>1.9490630483712139E-3</v>
      </c>
      <c r="AG96" s="17">
        <f t="shared" si="16"/>
        <v>1.9490630483712139E-3</v>
      </c>
      <c r="AH96" s="5">
        <f t="shared" si="13"/>
        <v>0.1949063048371214</v>
      </c>
    </row>
    <row r="97" spans="2:34" x14ac:dyDescent="0.3">
      <c r="B97" s="9" t="s">
        <v>112</v>
      </c>
      <c r="C97" s="54">
        <v>1.0653999999999999</v>
      </c>
      <c r="D97" s="55">
        <v>1.0656000000000001</v>
      </c>
      <c r="E97" s="54">
        <v>1.0670999999999999</v>
      </c>
      <c r="F97" s="55">
        <v>1.0623</v>
      </c>
      <c r="G97" s="58">
        <v>1.0639400000000001</v>
      </c>
      <c r="H97" s="59">
        <v>1.0673600000000001</v>
      </c>
      <c r="I97" s="58">
        <v>1.0615200000000002</v>
      </c>
      <c r="J97" s="59">
        <v>1.0641399999999999</v>
      </c>
      <c r="K97" s="54">
        <v>1.0653999999999999</v>
      </c>
      <c r="L97" s="60">
        <v>1.1319683236000002</v>
      </c>
      <c r="M97" s="61">
        <v>1.1392573696000001</v>
      </c>
      <c r="N97" s="60">
        <v>1.1268247104000004</v>
      </c>
      <c r="O97" s="61">
        <v>1.1323939395999998</v>
      </c>
      <c r="P97" s="60">
        <v>1.1350771599999998</v>
      </c>
      <c r="Q97" s="36">
        <v>1.1356069984000001</v>
      </c>
      <c r="R97" s="23">
        <v>1.1293935888000004</v>
      </c>
      <c r="S97" s="36">
        <v>1.1321811116</v>
      </c>
      <c r="T97" s="23">
        <v>1.1330239872000003</v>
      </c>
      <c r="U97" s="36">
        <v>1.1358204703999999</v>
      </c>
      <c r="V97" s="23">
        <v>1.1296058928000001</v>
      </c>
      <c r="W97" s="36">
        <v>1.133521676</v>
      </c>
      <c r="X97" s="23">
        <v>1.137165344</v>
      </c>
      <c r="Y97" s="36">
        <v>1.1309434080000003</v>
      </c>
      <c r="Z97" s="23">
        <v>1.1337347559999997</v>
      </c>
      <c r="AA97" s="9">
        <f t="shared" si="11"/>
        <v>1.0670725933496676</v>
      </c>
      <c r="AB97" s="1">
        <f t="shared" si="8"/>
        <v>-1.6725933496677392E-3</v>
      </c>
      <c r="AC97" s="9">
        <f t="shared" si="12"/>
        <v>-1.8462941176470515E-2</v>
      </c>
      <c r="AD97" s="2">
        <f t="shared" si="14"/>
        <v>2.7975685133527483E-6</v>
      </c>
      <c r="AE97" s="45">
        <f t="shared" si="14"/>
        <v>3.4088019688581045E-4</v>
      </c>
      <c r="AF97" s="3">
        <f t="shared" si="15"/>
        <v>-1.5699205459618352E-3</v>
      </c>
      <c r="AG97" s="17">
        <f t="shared" si="16"/>
        <v>1.5699205459618352E-3</v>
      </c>
      <c r="AH97" s="5">
        <f t="shared" si="13"/>
        <v>0.15699205459618351</v>
      </c>
    </row>
    <row r="98" spans="2:34" x14ac:dyDescent="0.3">
      <c r="B98" s="9" t="s">
        <v>113</v>
      </c>
      <c r="C98" s="54">
        <v>1.0653999999999999</v>
      </c>
      <c r="D98" s="55">
        <v>1.0645</v>
      </c>
      <c r="E98" s="54">
        <v>1.0678000000000001</v>
      </c>
      <c r="F98" s="55">
        <v>1.0609999999999999</v>
      </c>
      <c r="G98" s="58">
        <v>1.0655600000000001</v>
      </c>
      <c r="H98" s="59">
        <v>1.0684200000000001</v>
      </c>
      <c r="I98" s="58">
        <v>1.06176</v>
      </c>
      <c r="J98" s="59">
        <v>1.0638999999999998</v>
      </c>
      <c r="K98" s="54">
        <v>1.0653999999999999</v>
      </c>
      <c r="L98" s="60">
        <v>1.1354181136000001</v>
      </c>
      <c r="M98" s="61">
        <v>1.1415212964000003</v>
      </c>
      <c r="N98" s="60">
        <v>1.1273342976</v>
      </c>
      <c r="O98" s="61">
        <v>1.1318832099999996</v>
      </c>
      <c r="P98" s="60">
        <v>1.1350771599999998</v>
      </c>
      <c r="Q98" s="36">
        <v>1.1384656152000001</v>
      </c>
      <c r="R98" s="23">
        <v>1.1313689856000002</v>
      </c>
      <c r="S98" s="36">
        <v>1.1336492839999999</v>
      </c>
      <c r="T98" s="23">
        <v>1.1344056192000003</v>
      </c>
      <c r="U98" s="36">
        <v>1.1366920380000001</v>
      </c>
      <c r="V98" s="23">
        <v>1.1296064639999999</v>
      </c>
      <c r="W98" s="36">
        <v>1.135247624</v>
      </c>
      <c r="X98" s="23">
        <v>1.1382946680000001</v>
      </c>
      <c r="Y98" s="36">
        <v>1.131199104</v>
      </c>
      <c r="Z98" s="23">
        <v>1.1334790599999998</v>
      </c>
      <c r="AA98" s="9">
        <f t="shared" si="11"/>
        <v>1.0629359970679939</v>
      </c>
      <c r="AB98" s="1">
        <f t="shared" si="8"/>
        <v>2.4640029320059931E-3</v>
      </c>
      <c r="AC98" s="9">
        <f t="shared" si="12"/>
        <v>-1.8462941176470515E-2</v>
      </c>
      <c r="AD98" s="2">
        <f t="shared" si="14"/>
        <v>6.0713104489341304E-6</v>
      </c>
      <c r="AE98" s="45">
        <f t="shared" si="14"/>
        <v>3.4088019688581045E-4</v>
      </c>
      <c r="AF98" s="3">
        <f t="shared" si="15"/>
        <v>2.3127491383574182E-3</v>
      </c>
      <c r="AG98" s="17">
        <f t="shared" si="16"/>
        <v>2.3127491383574182E-3</v>
      </c>
      <c r="AH98" s="5">
        <f t="shared" si="13"/>
        <v>0.23127491383574181</v>
      </c>
    </row>
    <row r="99" spans="2:34" x14ac:dyDescent="0.3">
      <c r="B99" s="9" t="s">
        <v>114</v>
      </c>
      <c r="C99" s="54">
        <v>1.0643</v>
      </c>
      <c r="D99" s="55">
        <v>1.0671999999999999</v>
      </c>
      <c r="E99" s="54">
        <v>1.069</v>
      </c>
      <c r="F99" s="55">
        <v>1.0641</v>
      </c>
      <c r="G99" s="58">
        <v>1.06698</v>
      </c>
      <c r="H99" s="59">
        <v>1.06976</v>
      </c>
      <c r="I99" s="58">
        <v>1.0629</v>
      </c>
      <c r="J99" s="59">
        <v>1.06552</v>
      </c>
      <c r="K99" s="54">
        <v>1.0643</v>
      </c>
      <c r="L99" s="60">
        <v>1.1384463204000002</v>
      </c>
      <c r="M99" s="61">
        <v>1.1443864576</v>
      </c>
      <c r="N99" s="60">
        <v>1.1297564099999999</v>
      </c>
      <c r="O99" s="61">
        <v>1.1353328704000001</v>
      </c>
      <c r="P99" s="60">
        <v>1.13273449</v>
      </c>
      <c r="Q99" s="36">
        <v>1.1414125248</v>
      </c>
      <c r="R99" s="23">
        <v>1.1340930419999999</v>
      </c>
      <c r="S99" s="36">
        <v>1.1368885296</v>
      </c>
      <c r="T99" s="23">
        <v>1.1370479040000001</v>
      </c>
      <c r="U99" s="36">
        <v>1.1398506752000002</v>
      </c>
      <c r="V99" s="23">
        <v>1.1325412079999999</v>
      </c>
      <c r="W99" s="36">
        <v>1.1355868140000001</v>
      </c>
      <c r="X99" s="23">
        <v>1.1385455680000001</v>
      </c>
      <c r="Y99" s="36">
        <v>1.1312444699999999</v>
      </c>
      <c r="Z99" s="23">
        <v>1.1340329360000001</v>
      </c>
      <c r="AA99" s="9">
        <f t="shared" si="11"/>
        <v>1.0645291191735673</v>
      </c>
      <c r="AB99" s="1">
        <f t="shared" ref="AB99:AB162" si="17">K99-AA99</f>
        <v>-2.2911917356727152E-4</v>
      </c>
      <c r="AC99" s="9">
        <f t="shared" si="12"/>
        <v>-1.9562941176470394E-2</v>
      </c>
      <c r="AD99" s="2">
        <f t="shared" si="14"/>
        <v>5.2495595696149488E-8</v>
      </c>
      <c r="AE99" s="45">
        <f t="shared" si="14"/>
        <v>3.8270866747404088E-4</v>
      </c>
      <c r="AF99" s="3">
        <f t="shared" si="15"/>
        <v>-2.1527687077635207E-4</v>
      </c>
      <c r="AG99" s="17">
        <f t="shared" si="16"/>
        <v>2.1527687077635207E-4</v>
      </c>
      <c r="AH99" s="5">
        <f t="shared" si="13"/>
        <v>2.1527687077635208E-2</v>
      </c>
    </row>
    <row r="100" spans="2:34" x14ac:dyDescent="0.3">
      <c r="B100" s="9" t="s">
        <v>115</v>
      </c>
      <c r="C100" s="54">
        <v>1.0670999999999999</v>
      </c>
      <c r="D100" s="55">
        <v>1.0619000000000001</v>
      </c>
      <c r="E100" s="54">
        <v>1.0680000000000001</v>
      </c>
      <c r="F100" s="55">
        <v>1.0605</v>
      </c>
      <c r="G100" s="58">
        <v>1.0717399999999999</v>
      </c>
      <c r="H100" s="59">
        <v>1.07352</v>
      </c>
      <c r="I100" s="58">
        <v>1.0653599999999999</v>
      </c>
      <c r="J100" s="59">
        <v>1.0669400000000002</v>
      </c>
      <c r="K100" s="54">
        <v>1.0670999999999999</v>
      </c>
      <c r="L100" s="60">
        <v>1.1486266275999999</v>
      </c>
      <c r="M100" s="61">
        <v>1.1524451904000002</v>
      </c>
      <c r="N100" s="60">
        <v>1.1349919295999997</v>
      </c>
      <c r="O100" s="61">
        <v>1.1383609636000005</v>
      </c>
      <c r="P100" s="60">
        <v>1.1387024099999998</v>
      </c>
      <c r="Q100" s="36">
        <v>1.1505343248</v>
      </c>
      <c r="R100" s="23">
        <v>1.1417889263999998</v>
      </c>
      <c r="S100" s="36">
        <v>1.1434822756</v>
      </c>
      <c r="T100" s="23">
        <v>1.1436852672</v>
      </c>
      <c r="U100" s="36">
        <v>1.1453814288000004</v>
      </c>
      <c r="V100" s="23">
        <v>1.1366751984000001</v>
      </c>
      <c r="W100" s="36">
        <v>1.1436537539999998</v>
      </c>
      <c r="X100" s="23">
        <v>1.1455531919999999</v>
      </c>
      <c r="Y100" s="36">
        <v>1.1368456559999998</v>
      </c>
      <c r="Z100" s="23">
        <v>1.1385316740000002</v>
      </c>
      <c r="AA100" s="9">
        <f t="shared" si="11"/>
        <v>1.0588798836091748</v>
      </c>
      <c r="AB100" s="1">
        <f t="shared" si="17"/>
        <v>8.220116390825094E-3</v>
      </c>
      <c r="AC100" s="9">
        <f t="shared" si="12"/>
        <v>-1.6762941176470481E-2</v>
      </c>
      <c r="AD100" s="2">
        <f t="shared" si="14"/>
        <v>6.7570313478711365E-5</v>
      </c>
      <c r="AE100" s="45">
        <f t="shared" si="14"/>
        <v>2.8099619688580951E-4</v>
      </c>
      <c r="AF100" s="3">
        <f t="shared" si="15"/>
        <v>7.703229679341294E-3</v>
      </c>
      <c r="AG100" s="17">
        <f t="shared" si="16"/>
        <v>7.703229679341294E-3</v>
      </c>
      <c r="AH100" s="5">
        <f t="shared" si="13"/>
        <v>0.77032296793412935</v>
      </c>
    </row>
    <row r="101" spans="2:34" x14ac:dyDescent="0.3">
      <c r="B101" s="9" t="s">
        <v>116</v>
      </c>
      <c r="C101" s="54">
        <v>1.0617000000000001</v>
      </c>
      <c r="D101" s="55">
        <v>1.0624</v>
      </c>
      <c r="E101" s="54">
        <v>1.0653999999999999</v>
      </c>
      <c r="F101" s="55">
        <v>1.0601</v>
      </c>
      <c r="G101" s="58">
        <v>1.0764400000000003</v>
      </c>
      <c r="H101" s="59">
        <v>1.07816</v>
      </c>
      <c r="I101" s="58">
        <v>1.0702799999999999</v>
      </c>
      <c r="J101" s="59">
        <v>1.0717000000000001</v>
      </c>
      <c r="K101" s="54">
        <v>1.0617000000000001</v>
      </c>
      <c r="L101" s="60">
        <v>1.1587230736000007</v>
      </c>
      <c r="M101" s="61">
        <v>1.1624289856000001</v>
      </c>
      <c r="N101" s="60">
        <v>1.1454992783999998</v>
      </c>
      <c r="O101" s="61">
        <v>1.1485408900000003</v>
      </c>
      <c r="P101" s="60">
        <v>1.1272068900000003</v>
      </c>
      <c r="Q101" s="36">
        <v>1.1605745504000002</v>
      </c>
      <c r="R101" s="23">
        <v>1.1520922032000003</v>
      </c>
      <c r="S101" s="36">
        <v>1.1536207480000005</v>
      </c>
      <c r="T101" s="23">
        <v>1.1539330848</v>
      </c>
      <c r="U101" s="36">
        <v>1.155464072</v>
      </c>
      <c r="V101" s="23">
        <v>1.1470190760000001</v>
      </c>
      <c r="W101" s="36">
        <v>1.1428563480000005</v>
      </c>
      <c r="X101" s="23">
        <v>1.1446824720000002</v>
      </c>
      <c r="Y101" s="36">
        <v>1.1363162760000001</v>
      </c>
      <c r="Z101" s="23">
        <v>1.1378238900000002</v>
      </c>
      <c r="AA101" s="9">
        <f t="shared" si="11"/>
        <v>1.0633890830298403</v>
      </c>
      <c r="AB101" s="1">
        <f t="shared" si="17"/>
        <v>-1.689083029840166E-3</v>
      </c>
      <c r="AC101" s="9">
        <f t="shared" si="12"/>
        <v>-2.216294117647033E-2</v>
      </c>
      <c r="AD101" s="2">
        <f t="shared" si="14"/>
        <v>2.8530014816940353E-6</v>
      </c>
      <c r="AE101" s="45">
        <f t="shared" si="14"/>
        <v>4.9119596159168403E-4</v>
      </c>
      <c r="AF101" s="3">
        <f t="shared" si="15"/>
        <v>-1.590923076048004E-3</v>
      </c>
      <c r="AG101" s="17">
        <f t="shared" si="16"/>
        <v>1.590923076048004E-3</v>
      </c>
      <c r="AH101" s="5">
        <f t="shared" si="13"/>
        <v>0.15909230760480039</v>
      </c>
    </row>
    <row r="102" spans="2:34" x14ac:dyDescent="0.3">
      <c r="B102" s="9" t="s">
        <v>117</v>
      </c>
      <c r="C102" s="54">
        <v>1.0622</v>
      </c>
      <c r="D102" s="55">
        <v>1.0637000000000001</v>
      </c>
      <c r="E102" s="54">
        <v>1.0666</v>
      </c>
      <c r="F102" s="55">
        <v>1.0619000000000001</v>
      </c>
      <c r="G102" s="58">
        <v>1.08056</v>
      </c>
      <c r="H102" s="59">
        <v>1.0820999999999998</v>
      </c>
      <c r="I102" s="58">
        <v>1.0743</v>
      </c>
      <c r="J102" s="59">
        <v>1.0764199999999999</v>
      </c>
      <c r="K102" s="54">
        <v>1.0622</v>
      </c>
      <c r="L102" s="60">
        <v>1.1676099136</v>
      </c>
      <c r="M102" s="61">
        <v>1.1709404099999996</v>
      </c>
      <c r="N102" s="60">
        <v>1.1541204900000002</v>
      </c>
      <c r="O102" s="61">
        <v>1.1586800164</v>
      </c>
      <c r="P102" s="60">
        <v>1.1282688400000001</v>
      </c>
      <c r="Q102" s="36">
        <v>1.1692739759999997</v>
      </c>
      <c r="R102" s="23">
        <v>1.160845608</v>
      </c>
      <c r="S102" s="36">
        <v>1.1631363951999998</v>
      </c>
      <c r="T102" s="23">
        <v>1.1625000299999999</v>
      </c>
      <c r="U102" s="36">
        <v>1.1647940819999998</v>
      </c>
      <c r="V102" s="23">
        <v>1.1563980059999999</v>
      </c>
      <c r="W102" s="36">
        <v>1.147770832</v>
      </c>
      <c r="X102" s="23">
        <v>1.1494066199999999</v>
      </c>
      <c r="Y102" s="36">
        <v>1.1411214600000001</v>
      </c>
      <c r="Z102" s="23">
        <v>1.1433733239999999</v>
      </c>
      <c r="AA102" s="9">
        <f t="shared" si="11"/>
        <v>1.068499272299229</v>
      </c>
      <c r="AB102" s="1">
        <f t="shared" si="17"/>
        <v>-6.2992722992289973E-3</v>
      </c>
      <c r="AC102" s="9">
        <f t="shared" si="12"/>
        <v>-2.1662941176470385E-2</v>
      </c>
      <c r="AD102" s="2">
        <f t="shared" si="14"/>
        <v>3.9680831499833776E-5</v>
      </c>
      <c r="AE102" s="45">
        <f t="shared" si="14"/>
        <v>4.6928302041521609E-4</v>
      </c>
      <c r="AF102" s="3">
        <f t="shared" si="15"/>
        <v>-5.9304013361221961E-3</v>
      </c>
      <c r="AG102" s="17">
        <f t="shared" si="16"/>
        <v>5.9304013361221961E-3</v>
      </c>
      <c r="AH102" s="5">
        <f t="shared" si="13"/>
        <v>0.59304013361221963</v>
      </c>
    </row>
    <row r="103" spans="2:34" x14ac:dyDescent="0.3">
      <c r="B103" s="40">
        <v>45630</v>
      </c>
      <c r="C103" s="54">
        <v>1.0642</v>
      </c>
      <c r="D103" s="55">
        <v>1.0726</v>
      </c>
      <c r="E103" s="54">
        <v>1.0730999999999999</v>
      </c>
      <c r="F103" s="55">
        <v>1.0622</v>
      </c>
      <c r="G103" s="58">
        <v>1.0827599999999999</v>
      </c>
      <c r="H103" s="59">
        <v>1.0844400000000001</v>
      </c>
      <c r="I103" s="58">
        <v>1.0776799999999997</v>
      </c>
      <c r="J103" s="59">
        <v>1.0802799999999999</v>
      </c>
      <c r="K103" s="54">
        <v>1.0642</v>
      </c>
      <c r="L103" s="60">
        <v>1.1723692175999998</v>
      </c>
      <c r="M103" s="61">
        <v>1.1760101136000001</v>
      </c>
      <c r="N103" s="60">
        <v>1.1613941823999994</v>
      </c>
      <c r="O103" s="61">
        <v>1.1670048783999998</v>
      </c>
      <c r="P103" s="60">
        <v>1.13252164</v>
      </c>
      <c r="Q103" s="36">
        <v>1.1741882544</v>
      </c>
      <c r="R103" s="23">
        <v>1.1668687967999998</v>
      </c>
      <c r="S103" s="36">
        <v>1.1696839727999999</v>
      </c>
      <c r="T103" s="23">
        <v>1.1686792991999999</v>
      </c>
      <c r="U103" s="36">
        <v>1.1714988432</v>
      </c>
      <c r="V103" s="23">
        <v>1.1641961503999996</v>
      </c>
      <c r="W103" s="36">
        <v>1.152273192</v>
      </c>
      <c r="X103" s="23">
        <v>1.1540610480000002</v>
      </c>
      <c r="Y103" s="36">
        <v>1.1468670559999998</v>
      </c>
      <c r="Z103" s="23">
        <v>1.1496339759999998</v>
      </c>
      <c r="AA103" s="9">
        <f t="shared" si="11"/>
        <v>1.0753622171932933</v>
      </c>
      <c r="AB103" s="1">
        <f t="shared" si="17"/>
        <v>-1.1162217193293245E-2</v>
      </c>
      <c r="AC103" s="9">
        <f t="shared" si="12"/>
        <v>-1.9662941176470383E-2</v>
      </c>
      <c r="AD103" s="2">
        <f t="shared" si="14"/>
        <v>1.2459509267025132E-4</v>
      </c>
      <c r="AE103" s="45">
        <f t="shared" si="14"/>
        <v>3.8663125570933448E-4</v>
      </c>
      <c r="AF103" s="3">
        <f t="shared" si="15"/>
        <v>-1.0488834047447137E-2</v>
      </c>
      <c r="AG103" s="17">
        <f t="shared" si="16"/>
        <v>1.0488834047447137E-2</v>
      </c>
      <c r="AH103" s="5">
        <f t="shared" si="13"/>
        <v>1.0488834047447138</v>
      </c>
    </row>
    <row r="104" spans="2:34" x14ac:dyDescent="0.3">
      <c r="B104" s="40">
        <v>45600</v>
      </c>
      <c r="C104" s="54">
        <v>1.0724</v>
      </c>
      <c r="D104" s="55">
        <v>1.0743</v>
      </c>
      <c r="E104" s="54">
        <v>1.0757000000000001</v>
      </c>
      <c r="F104" s="55">
        <v>1.0698000000000001</v>
      </c>
      <c r="G104" s="58">
        <v>1.0845600000000002</v>
      </c>
      <c r="H104" s="59">
        <v>1.08684</v>
      </c>
      <c r="I104" s="58">
        <v>1.08036</v>
      </c>
      <c r="J104" s="59">
        <v>1.0825</v>
      </c>
      <c r="K104" s="54">
        <v>1.0724</v>
      </c>
      <c r="L104" s="60">
        <v>1.1762703936000005</v>
      </c>
      <c r="M104" s="61">
        <v>1.1812211856000001</v>
      </c>
      <c r="N104" s="60">
        <v>1.1671777295999999</v>
      </c>
      <c r="O104" s="61">
        <v>1.1718062499999999</v>
      </c>
      <c r="P104" s="60">
        <v>1.1500417600000001</v>
      </c>
      <c r="Q104" s="36">
        <v>1.1787431904000003</v>
      </c>
      <c r="R104" s="23">
        <v>1.1717152416000003</v>
      </c>
      <c r="S104" s="36">
        <v>1.1740362000000002</v>
      </c>
      <c r="T104" s="23">
        <v>1.1741784624</v>
      </c>
      <c r="U104" s="36">
        <v>1.1765042999999999</v>
      </c>
      <c r="V104" s="23">
        <v>1.1694897</v>
      </c>
      <c r="W104" s="36">
        <v>1.1630821440000003</v>
      </c>
      <c r="X104" s="23">
        <v>1.1655272160000001</v>
      </c>
      <c r="Y104" s="36">
        <v>1.1585780640000001</v>
      </c>
      <c r="Z104" s="23">
        <v>1.160873</v>
      </c>
      <c r="AA104" s="9">
        <f t="shared" si="11"/>
        <v>1.0787089247218162</v>
      </c>
      <c r="AB104" s="1">
        <f t="shared" si="17"/>
        <v>-6.3089247218162114E-3</v>
      </c>
      <c r="AC104" s="9">
        <f t="shared" si="12"/>
        <v>-1.1462941176470398E-2</v>
      </c>
      <c r="AD104" s="2">
        <f t="shared" si="14"/>
        <v>3.9802531145543762E-5</v>
      </c>
      <c r="AE104" s="45">
        <f>AC104^2</f>
        <v>1.3139902041522055E-4</v>
      </c>
      <c r="AF104" s="3">
        <f t="shared" si="15"/>
        <v>-5.8829958241479029E-3</v>
      </c>
      <c r="AG104" s="17">
        <f t="shared" si="16"/>
        <v>5.8829958241479029E-3</v>
      </c>
      <c r="AH104" s="5">
        <f t="shared" si="13"/>
        <v>0.5882995824147903</v>
      </c>
    </row>
    <row r="105" spans="2:34" x14ac:dyDescent="0.3">
      <c r="B105" s="40">
        <v>45569</v>
      </c>
      <c r="C105" s="54">
        <v>1.0742</v>
      </c>
      <c r="D105" s="55">
        <v>1.0857000000000001</v>
      </c>
      <c r="E105" s="54">
        <v>1.0868</v>
      </c>
      <c r="F105" s="55">
        <v>1.0728</v>
      </c>
      <c r="G105" s="58">
        <v>1.0828599999999997</v>
      </c>
      <c r="H105" s="59">
        <v>1.0862400000000001</v>
      </c>
      <c r="I105" s="58">
        <v>1.0810599999999999</v>
      </c>
      <c r="J105" s="59">
        <v>1.08436</v>
      </c>
      <c r="K105" s="54">
        <v>1.0742</v>
      </c>
      <c r="L105" s="60">
        <v>1.1725857795999994</v>
      </c>
      <c r="M105" s="61">
        <v>1.1799173376000003</v>
      </c>
      <c r="N105" s="60">
        <v>1.1686907235999997</v>
      </c>
      <c r="O105" s="61">
        <v>1.1758366095999999</v>
      </c>
      <c r="P105" s="60">
        <v>1.1539056400000001</v>
      </c>
      <c r="Q105" s="36">
        <v>1.1762458463999999</v>
      </c>
      <c r="R105" s="23">
        <v>1.1706366315999996</v>
      </c>
      <c r="S105" s="36">
        <v>1.1742100695999997</v>
      </c>
      <c r="T105" s="23">
        <v>1.1742906144</v>
      </c>
      <c r="U105" s="36">
        <v>1.1778752064</v>
      </c>
      <c r="V105" s="23">
        <v>1.1722582215999999</v>
      </c>
      <c r="W105" s="36">
        <v>1.1632082119999998</v>
      </c>
      <c r="X105" s="23">
        <v>1.1668390080000002</v>
      </c>
      <c r="Y105" s="36">
        <v>1.1612746519999999</v>
      </c>
      <c r="Z105" s="23">
        <v>1.164819512</v>
      </c>
      <c r="AA105" s="9">
        <f t="shared" si="11"/>
        <v>1.0877535393949229</v>
      </c>
      <c r="AB105" s="1">
        <f t="shared" si="17"/>
        <v>-1.3553539394922876E-2</v>
      </c>
      <c r="AC105" s="9">
        <f t="shared" si="12"/>
        <v>-9.6629411764703743E-3</v>
      </c>
      <c r="AD105" s="2">
        <f t="shared" si="14"/>
        <v>1.8369843012972634E-4</v>
      </c>
      <c r="AE105" s="45">
        <f t="shared" si="14"/>
        <v>9.3372432179926666E-5</v>
      </c>
      <c r="AF105" s="3">
        <f t="shared" si="15"/>
        <v>-1.261733326654522E-2</v>
      </c>
      <c r="AG105" s="17">
        <f t="shared" si="16"/>
        <v>1.261733326654522E-2</v>
      </c>
      <c r="AH105" s="5">
        <f t="shared" si="13"/>
        <v>1.2617333266545219</v>
      </c>
    </row>
    <row r="106" spans="2:34" x14ac:dyDescent="0.3">
      <c r="B106" s="40">
        <v>45539</v>
      </c>
      <c r="C106" s="54">
        <v>1.0854999999999999</v>
      </c>
      <c r="D106" s="55">
        <v>1.0859000000000001</v>
      </c>
      <c r="E106" s="54">
        <v>1.0886</v>
      </c>
      <c r="F106" s="55">
        <v>1.0847</v>
      </c>
      <c r="G106" s="58">
        <v>1.0805400000000001</v>
      </c>
      <c r="H106" s="59">
        <v>1.08412</v>
      </c>
      <c r="I106" s="58">
        <v>1.0786</v>
      </c>
      <c r="J106" s="59">
        <v>1.0826199999999999</v>
      </c>
      <c r="K106" s="54">
        <v>1.0854999999999999</v>
      </c>
      <c r="L106" s="60">
        <v>1.1675666916</v>
      </c>
      <c r="M106" s="61">
        <v>1.1753161744</v>
      </c>
      <c r="N106" s="60">
        <v>1.16337796</v>
      </c>
      <c r="O106" s="61">
        <v>1.1720660643999998</v>
      </c>
      <c r="P106" s="60">
        <v>1.1783102499999998</v>
      </c>
      <c r="Q106" s="36">
        <v>1.1714350248000001</v>
      </c>
      <c r="R106" s="23">
        <v>1.1654704440000001</v>
      </c>
      <c r="S106" s="36">
        <v>1.1698142147999999</v>
      </c>
      <c r="T106" s="23">
        <v>1.1693318319999999</v>
      </c>
      <c r="U106" s="36">
        <v>1.1736899943999999</v>
      </c>
      <c r="V106" s="23">
        <v>1.1677139319999998</v>
      </c>
      <c r="W106" s="36">
        <v>1.17292617</v>
      </c>
      <c r="X106" s="23">
        <v>1.1768122599999999</v>
      </c>
      <c r="Y106" s="36">
        <v>1.1708202999999999</v>
      </c>
      <c r="Z106" s="23">
        <v>1.1751840099999997</v>
      </c>
      <c r="AA106" s="9">
        <f t="shared" si="11"/>
        <v>1.0870704531389443</v>
      </c>
      <c r="AB106" s="1">
        <f t="shared" si="17"/>
        <v>-1.5704531389444387E-3</v>
      </c>
      <c r="AC106" s="9">
        <f t="shared" si="12"/>
        <v>1.6370588235294914E-3</v>
      </c>
      <c r="AD106" s="2">
        <f t="shared" si="14"/>
        <v>2.4663230616204407E-6</v>
      </c>
      <c r="AE106" s="45">
        <f t="shared" si="14"/>
        <v>2.6799615916957625E-6</v>
      </c>
      <c r="AF106" s="3">
        <f t="shared" si="15"/>
        <v>-1.4467555402528226E-3</v>
      </c>
      <c r="AG106" s="17">
        <f t="shared" si="16"/>
        <v>1.4467555402528226E-3</v>
      </c>
      <c r="AH106" s="5">
        <f t="shared" si="13"/>
        <v>0.14467555402528226</v>
      </c>
    </row>
    <row r="107" spans="2:34" x14ac:dyDescent="0.3">
      <c r="B107" s="40">
        <v>45508</v>
      </c>
      <c r="C107" s="54">
        <v>1.0858000000000001</v>
      </c>
      <c r="D107" s="55">
        <v>1.0843</v>
      </c>
      <c r="E107" s="54">
        <v>1.0863</v>
      </c>
      <c r="F107" s="55">
        <v>1.0820000000000001</v>
      </c>
      <c r="G107" s="58">
        <v>1.0794400000000002</v>
      </c>
      <c r="H107" s="59">
        <v>1.08284</v>
      </c>
      <c r="I107" s="58">
        <v>1.0768200000000001</v>
      </c>
      <c r="J107" s="59">
        <v>1.0803199999999999</v>
      </c>
      <c r="K107" s="54">
        <v>1.0858000000000001</v>
      </c>
      <c r="L107" s="60">
        <v>1.1651907136000004</v>
      </c>
      <c r="M107" s="61">
        <v>1.1725424656000001</v>
      </c>
      <c r="N107" s="60">
        <v>1.1595413124000002</v>
      </c>
      <c r="O107" s="61">
        <v>1.1670913023999998</v>
      </c>
      <c r="P107" s="60">
        <v>1.1789616400000003</v>
      </c>
      <c r="Q107" s="36">
        <v>1.1688608096000002</v>
      </c>
      <c r="R107" s="23">
        <v>1.1623625808000002</v>
      </c>
      <c r="S107" s="36">
        <v>1.1661406208</v>
      </c>
      <c r="T107" s="23">
        <v>1.1660237688000001</v>
      </c>
      <c r="U107" s="36">
        <v>1.1698137088</v>
      </c>
      <c r="V107" s="23">
        <v>1.1633101824000001</v>
      </c>
      <c r="W107" s="36">
        <v>1.1720559520000002</v>
      </c>
      <c r="X107" s="23">
        <v>1.1757476720000002</v>
      </c>
      <c r="Y107" s="36">
        <v>1.1692111560000003</v>
      </c>
      <c r="Z107" s="23">
        <v>1.173011456</v>
      </c>
      <c r="AA107" s="9">
        <f t="shared" si="11"/>
        <v>1.0826358143553363</v>
      </c>
      <c r="AB107" s="1">
        <f t="shared" si="17"/>
        <v>3.1641856446638084E-3</v>
      </c>
      <c r="AC107" s="9">
        <f t="shared" si="12"/>
        <v>1.9370588235296804E-3</v>
      </c>
      <c r="AD107" s="2">
        <f t="shared" si="14"/>
        <v>1.001207079389652E-5</v>
      </c>
      <c r="AE107" s="45">
        <f t="shared" si="14"/>
        <v>3.7521968858141895E-6</v>
      </c>
      <c r="AF107" s="3">
        <f t="shared" si="15"/>
        <v>2.914151450233752E-3</v>
      </c>
      <c r="AG107" s="17">
        <f t="shared" si="16"/>
        <v>2.914151450233752E-3</v>
      </c>
      <c r="AH107" s="5">
        <f t="shared" si="13"/>
        <v>0.29141514502337518</v>
      </c>
    </row>
    <row r="108" spans="2:34" x14ac:dyDescent="0.3">
      <c r="B108" s="40">
        <v>45416</v>
      </c>
      <c r="C108" s="54">
        <v>1.0834999999999999</v>
      </c>
      <c r="D108" s="55">
        <v>1.0835999999999999</v>
      </c>
      <c r="E108" s="54">
        <v>1.0848</v>
      </c>
      <c r="F108" s="55">
        <v>1.0790999999999999</v>
      </c>
      <c r="G108" s="58">
        <v>1.0785199999999999</v>
      </c>
      <c r="H108" s="59">
        <v>1.0820000000000001</v>
      </c>
      <c r="I108" s="58">
        <v>1.0763399999999999</v>
      </c>
      <c r="J108" s="59">
        <v>1.0794799999999998</v>
      </c>
      <c r="K108" s="54">
        <v>1.0834999999999999</v>
      </c>
      <c r="L108" s="60">
        <v>1.1632053903999999</v>
      </c>
      <c r="M108" s="61">
        <v>1.1707240000000001</v>
      </c>
      <c r="N108" s="60">
        <v>1.1585077955999996</v>
      </c>
      <c r="O108" s="61">
        <v>1.1652770703999995</v>
      </c>
      <c r="P108" s="60">
        <v>1.1739722499999998</v>
      </c>
      <c r="Q108" s="36">
        <v>1.16695864</v>
      </c>
      <c r="R108" s="23">
        <v>1.1608542167999998</v>
      </c>
      <c r="S108" s="36">
        <v>1.1642407695999997</v>
      </c>
      <c r="T108" s="23">
        <v>1.1645998799999999</v>
      </c>
      <c r="U108" s="36">
        <v>1.1679973599999998</v>
      </c>
      <c r="V108" s="23">
        <v>1.1618875031999996</v>
      </c>
      <c r="W108" s="36">
        <v>1.1685764199999997</v>
      </c>
      <c r="X108" s="23">
        <v>1.172347</v>
      </c>
      <c r="Y108" s="36">
        <v>1.1662143899999997</v>
      </c>
      <c r="Z108" s="23">
        <v>1.1696165799999996</v>
      </c>
      <c r="AA108" s="9">
        <f t="shared" si="11"/>
        <v>1.0822874813773598</v>
      </c>
      <c r="AB108" s="1">
        <f t="shared" si="17"/>
        <v>1.2125186226401574E-3</v>
      </c>
      <c r="AC108" s="9">
        <f t="shared" si="12"/>
        <v>-3.6294117647051038E-4</v>
      </c>
      <c r="AD108" s="2">
        <f t="shared" si="14"/>
        <v>1.4702014102491845E-6</v>
      </c>
      <c r="AE108" s="45">
        <f t="shared" si="14"/>
        <v>1.3172629757779817E-7</v>
      </c>
      <c r="AF108" s="3">
        <f t="shared" si="15"/>
        <v>1.1190757938533988E-3</v>
      </c>
      <c r="AG108" s="17">
        <f t="shared" si="16"/>
        <v>1.1190757938533988E-3</v>
      </c>
      <c r="AH108" s="5">
        <f t="shared" si="13"/>
        <v>0.11190757938533988</v>
      </c>
    </row>
    <row r="109" spans="2:34" x14ac:dyDescent="0.3">
      <c r="B109" s="40">
        <v>45386</v>
      </c>
      <c r="C109" s="54">
        <v>1.0834999999999999</v>
      </c>
      <c r="D109" s="55">
        <v>1.0832999999999999</v>
      </c>
      <c r="E109" s="54">
        <v>1.0876999999999999</v>
      </c>
      <c r="F109" s="55">
        <v>1.0831999999999999</v>
      </c>
      <c r="G109" s="58">
        <v>1.0783999999999998</v>
      </c>
      <c r="H109" s="59">
        <v>1.0810200000000001</v>
      </c>
      <c r="I109" s="58">
        <v>1.07518</v>
      </c>
      <c r="J109" s="59">
        <v>1.0785199999999999</v>
      </c>
      <c r="K109" s="54">
        <v>1.0834999999999999</v>
      </c>
      <c r="L109" s="60">
        <v>1.1629465599999995</v>
      </c>
      <c r="M109" s="61">
        <v>1.1686042404000001</v>
      </c>
      <c r="N109" s="60">
        <v>1.1560120324000001</v>
      </c>
      <c r="O109" s="61">
        <v>1.1632053903999999</v>
      </c>
      <c r="P109" s="60">
        <v>1.1739722499999998</v>
      </c>
      <c r="Q109" s="36">
        <v>1.1657719679999998</v>
      </c>
      <c r="R109" s="23">
        <v>1.1594741119999998</v>
      </c>
      <c r="S109" s="36">
        <v>1.1630759679999998</v>
      </c>
      <c r="T109" s="23">
        <v>1.1622910836000002</v>
      </c>
      <c r="U109" s="36">
        <v>1.1659016903999999</v>
      </c>
      <c r="V109" s="23">
        <v>1.1596031335999999</v>
      </c>
      <c r="W109" s="36">
        <v>1.1684463999999997</v>
      </c>
      <c r="X109" s="23">
        <v>1.17128517</v>
      </c>
      <c r="Y109" s="36">
        <v>1.1649575299999999</v>
      </c>
      <c r="Z109" s="23">
        <v>1.1685764199999997</v>
      </c>
      <c r="AA109" s="9">
        <f t="shared" si="11"/>
        <v>1.0792505796117815</v>
      </c>
      <c r="AB109" s="1">
        <f t="shared" si="17"/>
        <v>4.2494203882184056E-3</v>
      </c>
      <c r="AC109" s="9">
        <f t="shared" si="12"/>
        <v>-3.6294117647051038E-4</v>
      </c>
      <c r="AD109" s="2">
        <f t="shared" si="14"/>
        <v>1.8057573635806265E-5</v>
      </c>
      <c r="AE109" s="45">
        <f t="shared" si="14"/>
        <v>1.3172629757779817E-7</v>
      </c>
      <c r="AF109" s="3">
        <f t="shared" si="15"/>
        <v>3.9219385216598115E-3</v>
      </c>
      <c r="AG109" s="17">
        <f t="shared" si="16"/>
        <v>3.9219385216598115E-3</v>
      </c>
      <c r="AH109" s="5">
        <f t="shared" si="13"/>
        <v>0.39219385216598113</v>
      </c>
    </row>
    <row r="110" spans="2:34" x14ac:dyDescent="0.3">
      <c r="B110" s="40">
        <v>45355</v>
      </c>
      <c r="C110" s="54">
        <v>1.0834999999999999</v>
      </c>
      <c r="D110" s="55">
        <v>1.0771999999999999</v>
      </c>
      <c r="E110" s="54">
        <v>1.0838000000000001</v>
      </c>
      <c r="F110" s="55">
        <v>1.0763</v>
      </c>
      <c r="G110" s="58">
        <v>1.0795999999999999</v>
      </c>
      <c r="H110" s="59">
        <v>1.0810600000000001</v>
      </c>
      <c r="I110" s="58">
        <v>1.07612</v>
      </c>
      <c r="J110" s="59">
        <v>1.0783400000000001</v>
      </c>
      <c r="K110" s="54">
        <v>1.0834999999999999</v>
      </c>
      <c r="L110" s="60">
        <v>1.1655361599999998</v>
      </c>
      <c r="M110" s="61">
        <v>1.1686907236000004</v>
      </c>
      <c r="N110" s="60">
        <v>1.1580342544</v>
      </c>
      <c r="O110" s="61">
        <v>1.1628171556000002</v>
      </c>
      <c r="P110" s="60">
        <v>1.1739722499999998</v>
      </c>
      <c r="Q110" s="36">
        <v>1.167112376</v>
      </c>
      <c r="R110" s="23">
        <v>1.1617791519999998</v>
      </c>
      <c r="S110" s="36">
        <v>1.1641758639999999</v>
      </c>
      <c r="T110" s="23">
        <v>1.1633502872000001</v>
      </c>
      <c r="U110" s="36">
        <v>1.1657502404000002</v>
      </c>
      <c r="V110" s="23">
        <v>1.1604232408000001</v>
      </c>
      <c r="W110" s="36">
        <v>1.1697465999999999</v>
      </c>
      <c r="X110" s="23">
        <v>1.1713285099999999</v>
      </c>
      <c r="Y110" s="36">
        <v>1.1659760199999998</v>
      </c>
      <c r="Z110" s="23">
        <v>1.16838139</v>
      </c>
      <c r="AA110" s="9">
        <f t="shared" si="11"/>
        <v>1.0764513508367495</v>
      </c>
      <c r="AB110" s="1">
        <f t="shared" si="17"/>
        <v>7.0486491632504311E-3</v>
      </c>
      <c r="AC110" s="9">
        <f t="shared" si="12"/>
        <v>-3.6294117647051038E-4</v>
      </c>
      <c r="AD110" s="2">
        <f t="shared" si="14"/>
        <v>4.9683455026591003E-5</v>
      </c>
      <c r="AE110" s="45">
        <f t="shared" si="14"/>
        <v>1.3172629757779817E-7</v>
      </c>
      <c r="AF110" s="3">
        <f t="shared" si="15"/>
        <v>6.5054445438398074E-3</v>
      </c>
      <c r="AG110" s="17">
        <f t="shared" si="16"/>
        <v>6.5054445438398074E-3</v>
      </c>
      <c r="AH110" s="5">
        <f t="shared" si="13"/>
        <v>0.65054445438398079</v>
      </c>
    </row>
    <row r="111" spans="2:34" x14ac:dyDescent="0.3">
      <c r="B111" s="40">
        <v>45326</v>
      </c>
      <c r="C111" s="54">
        <v>1.0768</v>
      </c>
      <c r="D111" s="55">
        <v>1.0743</v>
      </c>
      <c r="E111" s="54">
        <v>1.0780000000000001</v>
      </c>
      <c r="F111" s="55">
        <v>1.0724</v>
      </c>
      <c r="G111" s="58">
        <v>1.0814999999999999</v>
      </c>
      <c r="H111" s="59">
        <v>1.0827599999999999</v>
      </c>
      <c r="I111" s="58">
        <v>1.0781199999999997</v>
      </c>
      <c r="J111" s="59">
        <v>1.07958</v>
      </c>
      <c r="K111" s="54">
        <v>1.0768</v>
      </c>
      <c r="L111" s="60">
        <v>1.1696422499999999</v>
      </c>
      <c r="M111" s="61">
        <v>1.1723692175999998</v>
      </c>
      <c r="N111" s="60">
        <v>1.1623427343999995</v>
      </c>
      <c r="O111" s="61">
        <v>1.1654929763999999</v>
      </c>
      <c r="P111" s="60">
        <v>1.15949824</v>
      </c>
      <c r="Q111" s="36">
        <v>1.1710049399999998</v>
      </c>
      <c r="R111" s="23">
        <v>1.1659867799999997</v>
      </c>
      <c r="S111" s="36">
        <v>1.1675657699999999</v>
      </c>
      <c r="T111" s="23">
        <v>1.1673452111999996</v>
      </c>
      <c r="U111" s="36">
        <v>1.1689260408</v>
      </c>
      <c r="V111" s="23">
        <v>1.1639167895999998</v>
      </c>
      <c r="W111" s="36">
        <v>1.1645591999999998</v>
      </c>
      <c r="X111" s="23">
        <v>1.165915968</v>
      </c>
      <c r="Y111" s="36">
        <v>1.1609196159999997</v>
      </c>
      <c r="Z111" s="23">
        <v>1.162491744</v>
      </c>
      <c r="AA111" s="9">
        <f t="shared" si="11"/>
        <v>1.0765319981789303</v>
      </c>
      <c r="AB111" s="1">
        <f t="shared" si="17"/>
        <v>2.6800182106967441E-4</v>
      </c>
      <c r="AC111" s="9">
        <f t="shared" si="12"/>
        <v>-7.0629411764704386E-3</v>
      </c>
      <c r="AD111" s="2">
        <f t="shared" si="14"/>
        <v>7.1824976096661774E-8</v>
      </c>
      <c r="AE111" s="45">
        <f t="shared" si="14"/>
        <v>4.9885138062281626E-5</v>
      </c>
      <c r="AF111" s="3">
        <f t="shared" si="15"/>
        <v>2.4888727811076748E-4</v>
      </c>
      <c r="AG111" s="17">
        <f t="shared" si="16"/>
        <v>2.4888727811076748E-4</v>
      </c>
      <c r="AH111" s="5">
        <f t="shared" si="13"/>
        <v>2.4888727811076747E-2</v>
      </c>
    </row>
    <row r="112" spans="2:34" x14ac:dyDescent="0.3">
      <c r="B112" s="40">
        <v>45295</v>
      </c>
      <c r="C112" s="54">
        <v>1.0743</v>
      </c>
      <c r="D112" s="55">
        <v>1.0788</v>
      </c>
      <c r="E112" s="54">
        <v>1.0799000000000001</v>
      </c>
      <c r="F112" s="55">
        <v>1.0730999999999999</v>
      </c>
      <c r="G112" s="58">
        <v>1.0818999999999999</v>
      </c>
      <c r="H112" s="59">
        <v>1.0836399999999999</v>
      </c>
      <c r="I112" s="58">
        <v>1.0795400000000002</v>
      </c>
      <c r="J112" s="59">
        <v>1.08144</v>
      </c>
      <c r="K112" s="54">
        <v>1.0743</v>
      </c>
      <c r="L112" s="60">
        <v>1.1705076099999998</v>
      </c>
      <c r="M112" s="61">
        <v>1.1742756496</v>
      </c>
      <c r="N112" s="60">
        <v>1.1654066116000004</v>
      </c>
      <c r="O112" s="61">
        <v>1.1695124736</v>
      </c>
      <c r="P112" s="60">
        <v>1.1541204900000002</v>
      </c>
      <c r="Q112" s="36">
        <v>1.1723901159999999</v>
      </c>
      <c r="R112" s="23">
        <v>1.167954326</v>
      </c>
      <c r="S112" s="36">
        <v>1.1700099359999998</v>
      </c>
      <c r="T112" s="23">
        <v>1.1698327256000001</v>
      </c>
      <c r="U112" s="36">
        <v>1.1718916415999998</v>
      </c>
      <c r="V112" s="23">
        <v>1.1674577376000002</v>
      </c>
      <c r="W112" s="36">
        <v>1.1622851699999999</v>
      </c>
      <c r="X112" s="23">
        <v>1.164154452</v>
      </c>
      <c r="Y112" s="36">
        <v>1.1597498220000002</v>
      </c>
      <c r="Z112" s="23">
        <v>1.161790992</v>
      </c>
      <c r="AA112" s="9">
        <f t="shared" si="11"/>
        <v>1.0812603643632928</v>
      </c>
      <c r="AB112" s="1">
        <f t="shared" si="17"/>
        <v>-6.9603643632927259E-3</v>
      </c>
      <c r="AC112" s="9">
        <f t="shared" si="12"/>
        <v>-9.5629411764703853E-3</v>
      </c>
      <c r="AD112" s="2">
        <f t="shared" si="14"/>
        <v>4.8446672069795354E-5</v>
      </c>
      <c r="AE112" s="45">
        <f t="shared" si="14"/>
        <v>9.1449843944632804E-5</v>
      </c>
      <c r="AF112" s="3">
        <f t="shared" si="15"/>
        <v>-6.4789764156127022E-3</v>
      </c>
      <c r="AG112" s="17">
        <f t="shared" si="16"/>
        <v>6.4789764156127022E-3</v>
      </c>
      <c r="AH112" s="5">
        <f t="shared" si="13"/>
        <v>0.64789764156127028</v>
      </c>
    </row>
    <row r="113" spans="2:34" x14ac:dyDescent="0.3">
      <c r="B113" s="9" t="s">
        <v>118</v>
      </c>
      <c r="C113" s="54">
        <v>1.0792999999999999</v>
      </c>
      <c r="D113" s="55">
        <v>1.079</v>
      </c>
      <c r="E113" s="54">
        <v>1.0806</v>
      </c>
      <c r="F113" s="55">
        <v>1.0767</v>
      </c>
      <c r="G113" s="58">
        <v>1.0832999999999999</v>
      </c>
      <c r="H113" s="59">
        <v>1.0849</v>
      </c>
      <c r="I113" s="58">
        <v>1.0802399999999999</v>
      </c>
      <c r="J113" s="59">
        <v>1.08168</v>
      </c>
      <c r="K113" s="54">
        <v>1.0792999999999999</v>
      </c>
      <c r="L113" s="60">
        <v>1.1735388899999999</v>
      </c>
      <c r="M113" s="61">
        <v>1.17700801</v>
      </c>
      <c r="N113" s="60">
        <v>1.1669184575999998</v>
      </c>
      <c r="O113" s="61">
        <v>1.1700316224</v>
      </c>
      <c r="P113" s="60">
        <v>1.1648884899999998</v>
      </c>
      <c r="Q113" s="36">
        <v>1.1752721699999999</v>
      </c>
      <c r="R113" s="23">
        <v>1.1702239919999997</v>
      </c>
      <c r="S113" s="36">
        <v>1.171783944</v>
      </c>
      <c r="T113" s="23">
        <v>1.1719523759999999</v>
      </c>
      <c r="U113" s="36">
        <v>1.1735146319999998</v>
      </c>
      <c r="V113" s="23">
        <v>1.1684740031999998</v>
      </c>
      <c r="W113" s="36">
        <v>1.1692056899999999</v>
      </c>
      <c r="X113" s="23">
        <v>1.17093257</v>
      </c>
      <c r="Y113" s="36">
        <v>1.1659030319999997</v>
      </c>
      <c r="Z113" s="23">
        <v>1.1674572239999998</v>
      </c>
      <c r="AA113" s="9">
        <f t="shared" si="11"/>
        <v>1.0791803515064777</v>
      </c>
      <c r="AB113" s="1">
        <f t="shared" si="17"/>
        <v>1.1964849352219531E-4</v>
      </c>
      <c r="AC113" s="9">
        <f t="shared" si="12"/>
        <v>-4.5629411764704919E-3</v>
      </c>
      <c r="AD113" s="2">
        <f t="shared" si="14"/>
        <v>1.4315762002130813E-8</v>
      </c>
      <c r="AE113" s="45">
        <f t="shared" si="14"/>
        <v>2.0820432179929916E-5</v>
      </c>
      <c r="AF113" s="3">
        <f t="shared" si="15"/>
        <v>1.1085749422977423E-4</v>
      </c>
      <c r="AG113" s="17">
        <f t="shared" si="16"/>
        <v>1.1085749422977423E-4</v>
      </c>
      <c r="AH113" s="5">
        <f t="shared" si="13"/>
        <v>1.1085749422977423E-2</v>
      </c>
    </row>
    <row r="114" spans="2:34" x14ac:dyDescent="0.3">
      <c r="B114" s="9" t="s">
        <v>119</v>
      </c>
      <c r="C114" s="54">
        <v>1.0787</v>
      </c>
      <c r="D114" s="55">
        <v>1.0827</v>
      </c>
      <c r="E114" s="54">
        <v>1.0828</v>
      </c>
      <c r="F114" s="55">
        <v>1.0773999999999999</v>
      </c>
      <c r="G114" s="58">
        <v>1.08518</v>
      </c>
      <c r="H114" s="59">
        <v>1.0871999999999999</v>
      </c>
      <c r="I114" s="58">
        <v>1.08186</v>
      </c>
      <c r="J114" s="59">
        <v>1.08314</v>
      </c>
      <c r="K114" s="54">
        <v>1.0787</v>
      </c>
      <c r="L114" s="60">
        <v>1.1776156324</v>
      </c>
      <c r="M114" s="61">
        <v>1.1820038399999999</v>
      </c>
      <c r="N114" s="60">
        <v>1.1704210596000002</v>
      </c>
      <c r="O114" s="61">
        <v>1.1731922596</v>
      </c>
      <c r="P114" s="60">
        <v>1.1635936899999999</v>
      </c>
      <c r="Q114" s="36">
        <v>1.1798076959999999</v>
      </c>
      <c r="R114" s="23">
        <v>1.1740128348000001</v>
      </c>
      <c r="S114" s="36">
        <v>1.1754018652</v>
      </c>
      <c r="T114" s="23">
        <v>1.176198192</v>
      </c>
      <c r="U114" s="36">
        <v>1.177589808</v>
      </c>
      <c r="V114" s="23">
        <v>1.1718058404</v>
      </c>
      <c r="W114" s="36">
        <v>1.170583666</v>
      </c>
      <c r="X114" s="23">
        <v>1.17276264</v>
      </c>
      <c r="Y114" s="36">
        <v>1.1670023819999999</v>
      </c>
      <c r="Z114" s="23">
        <v>1.1683831179999999</v>
      </c>
      <c r="AA114" s="9">
        <f t="shared" si="11"/>
        <v>1.0797798828776575</v>
      </c>
      <c r="AB114" s="1">
        <f t="shared" si="17"/>
        <v>-1.0798828776574787E-3</v>
      </c>
      <c r="AC114" s="9">
        <f t="shared" si="12"/>
        <v>-5.1629411764704258E-3</v>
      </c>
      <c r="AD114" s="2">
        <f t="shared" si="14"/>
        <v>1.1661470294577971E-6</v>
      </c>
      <c r="AE114" s="45">
        <f t="shared" si="14"/>
        <v>2.6655961591693825E-5</v>
      </c>
      <c r="AF114" s="3">
        <f t="shared" si="15"/>
        <v>-1.0010965770441075E-3</v>
      </c>
      <c r="AG114" s="17">
        <f t="shared" si="16"/>
        <v>1.0010965770441075E-3</v>
      </c>
      <c r="AH114" s="5">
        <f t="shared" si="13"/>
        <v>0.10010965770441076</v>
      </c>
    </row>
    <row r="115" spans="2:34" x14ac:dyDescent="0.3">
      <c r="B115" s="9" t="s">
        <v>120</v>
      </c>
      <c r="C115" s="54">
        <v>1.0826</v>
      </c>
      <c r="D115" s="55">
        <v>1.0831999999999999</v>
      </c>
      <c r="E115" s="54">
        <v>1.0840000000000001</v>
      </c>
      <c r="F115" s="55">
        <v>1.081</v>
      </c>
      <c r="G115" s="58">
        <v>1.0858200000000002</v>
      </c>
      <c r="H115" s="59">
        <v>1.0888800000000001</v>
      </c>
      <c r="I115" s="58">
        <v>1.0823800000000001</v>
      </c>
      <c r="J115" s="59">
        <v>1.0849800000000001</v>
      </c>
      <c r="K115" s="54">
        <v>1.0826</v>
      </c>
      <c r="L115" s="60">
        <v>1.1790050724000005</v>
      </c>
      <c r="M115" s="61">
        <v>1.1856596544000002</v>
      </c>
      <c r="N115" s="60">
        <v>1.1715464644000002</v>
      </c>
      <c r="O115" s="61">
        <v>1.1771816004000002</v>
      </c>
      <c r="P115" s="60">
        <v>1.1720227599999999</v>
      </c>
      <c r="Q115" s="36">
        <v>1.1823276816000003</v>
      </c>
      <c r="R115" s="23">
        <v>1.1752698516000004</v>
      </c>
      <c r="S115" s="36">
        <v>1.1780929836000003</v>
      </c>
      <c r="T115" s="23">
        <v>1.1785819344000001</v>
      </c>
      <c r="U115" s="36">
        <v>1.1814130224000001</v>
      </c>
      <c r="V115" s="23">
        <v>1.1743606524000001</v>
      </c>
      <c r="W115" s="36">
        <v>1.1755087320000002</v>
      </c>
      <c r="X115" s="23">
        <v>1.1788214880000001</v>
      </c>
      <c r="Y115" s="36">
        <v>1.1717845880000002</v>
      </c>
      <c r="Z115" s="23">
        <v>1.1745993480000001</v>
      </c>
      <c r="AA115" s="9">
        <f t="shared" si="11"/>
        <v>1.0835347306978009</v>
      </c>
      <c r="AB115" s="1">
        <f t="shared" si="17"/>
        <v>-9.3473069780092288E-4</v>
      </c>
      <c r="AC115" s="9">
        <f t="shared" si="12"/>
        <v>-1.2629411764704113E-3</v>
      </c>
      <c r="AD115" s="2">
        <f t="shared" si="14"/>
        <v>8.7372147741140017E-7</v>
      </c>
      <c r="AE115" s="45">
        <f t="shared" si="14"/>
        <v>1.5950204152244665E-6</v>
      </c>
      <c r="AF115" s="3">
        <f t="shared" si="15"/>
        <v>-8.6341280048117758E-4</v>
      </c>
      <c r="AG115" s="17">
        <f t="shared" si="16"/>
        <v>8.6341280048117758E-4</v>
      </c>
      <c r="AH115" s="5">
        <f t="shared" si="13"/>
        <v>8.6341280048117752E-2</v>
      </c>
    </row>
    <row r="116" spans="2:34" x14ac:dyDescent="0.3">
      <c r="B116" s="9" t="s">
        <v>121</v>
      </c>
      <c r="C116" s="54">
        <v>1.083</v>
      </c>
      <c r="D116" s="55">
        <v>1.0838000000000001</v>
      </c>
      <c r="E116" s="54">
        <v>1.0865</v>
      </c>
      <c r="F116" s="55">
        <v>1.0824</v>
      </c>
      <c r="G116" s="58">
        <v>1.0865200000000002</v>
      </c>
      <c r="H116" s="59">
        <v>1.0891199999999999</v>
      </c>
      <c r="I116" s="58">
        <v>1.0825799999999999</v>
      </c>
      <c r="J116" s="59">
        <v>1.08568</v>
      </c>
      <c r="K116" s="54">
        <v>1.083</v>
      </c>
      <c r="L116" s="60">
        <v>1.1805257104000004</v>
      </c>
      <c r="M116" s="61">
        <v>1.1861823743999997</v>
      </c>
      <c r="N116" s="60">
        <v>1.1719794563999997</v>
      </c>
      <c r="O116" s="61">
        <v>1.1787010624000001</v>
      </c>
      <c r="P116" s="60">
        <v>1.1728889999999998</v>
      </c>
      <c r="Q116" s="36">
        <v>1.1833506624000001</v>
      </c>
      <c r="R116" s="23">
        <v>1.1762448216000001</v>
      </c>
      <c r="S116" s="36">
        <v>1.1796130336000001</v>
      </c>
      <c r="T116" s="23">
        <v>1.1790595295999997</v>
      </c>
      <c r="U116" s="36">
        <v>1.1824358015999998</v>
      </c>
      <c r="V116" s="23">
        <v>1.1753354543999999</v>
      </c>
      <c r="W116" s="36">
        <v>1.1767011600000001</v>
      </c>
      <c r="X116" s="23">
        <v>1.1795169599999997</v>
      </c>
      <c r="Y116" s="36">
        <v>1.1724341399999998</v>
      </c>
      <c r="Z116" s="23">
        <v>1.17579144</v>
      </c>
      <c r="AA116" s="9">
        <f t="shared" si="11"/>
        <v>1.0837535416381978</v>
      </c>
      <c r="AB116" s="1">
        <f t="shared" si="17"/>
        <v>-7.5354163819785214E-4</v>
      </c>
      <c r="AC116" s="9">
        <f t="shared" si="12"/>
        <v>-8.6294117647045532E-4</v>
      </c>
      <c r="AD116" s="2">
        <f t="shared" si="14"/>
        <v>5.6782500049790274E-7</v>
      </c>
      <c r="AE116" s="45">
        <f t="shared" si="14"/>
        <v>7.4466747404821354E-7</v>
      </c>
      <c r="AF116" s="3">
        <f t="shared" si="15"/>
        <v>-6.9579098633227351E-4</v>
      </c>
      <c r="AG116" s="17">
        <f t="shared" si="16"/>
        <v>6.9579098633227351E-4</v>
      </c>
      <c r="AH116" s="5">
        <f t="shared" si="13"/>
        <v>6.9579098633227351E-2</v>
      </c>
    </row>
    <row r="117" spans="2:34" x14ac:dyDescent="0.3">
      <c r="B117" s="9" t="s">
        <v>122</v>
      </c>
      <c r="C117" s="54">
        <v>1.0835999999999999</v>
      </c>
      <c r="D117" s="55">
        <v>1.0808</v>
      </c>
      <c r="E117" s="54">
        <v>1.0843</v>
      </c>
      <c r="F117" s="55">
        <v>1.0802</v>
      </c>
      <c r="G117" s="58">
        <v>1.08822</v>
      </c>
      <c r="H117" s="59">
        <v>1.0903800000000001</v>
      </c>
      <c r="I117" s="58">
        <v>1.0838399999999999</v>
      </c>
      <c r="J117" s="59">
        <v>1.0863800000000001</v>
      </c>
      <c r="K117" s="54">
        <v>1.0835999999999999</v>
      </c>
      <c r="L117" s="60">
        <v>1.1842227684</v>
      </c>
      <c r="M117" s="61">
        <v>1.1889285444000002</v>
      </c>
      <c r="N117" s="60">
        <v>1.1747091455999998</v>
      </c>
      <c r="O117" s="61">
        <v>1.1802215044000002</v>
      </c>
      <c r="P117" s="60">
        <v>1.1741889599999997</v>
      </c>
      <c r="Q117" s="36">
        <v>1.1865733236</v>
      </c>
      <c r="R117" s="23">
        <v>1.1794563647999998</v>
      </c>
      <c r="S117" s="36">
        <v>1.1822204436000001</v>
      </c>
      <c r="T117" s="23">
        <v>1.1817974592</v>
      </c>
      <c r="U117" s="36">
        <v>1.1845670244000002</v>
      </c>
      <c r="V117" s="23">
        <v>1.1774620992</v>
      </c>
      <c r="W117" s="36">
        <v>1.1791951919999999</v>
      </c>
      <c r="X117" s="23">
        <v>1.181535768</v>
      </c>
      <c r="Y117" s="36">
        <v>1.1744490239999998</v>
      </c>
      <c r="Z117" s="23">
        <v>1.177201368</v>
      </c>
      <c r="AA117" s="9">
        <f t="shared" ref="AA117:AA172" si="18">J$177+(K$177*G117)+(L$177*H117)+(M$177*I117)+(N$177*J117)</f>
        <v>1.0824239585800206</v>
      </c>
      <c r="AB117" s="1">
        <f t="shared" si="17"/>
        <v>1.1760414199792901E-3</v>
      </c>
      <c r="AC117" s="9">
        <f t="shared" ref="AC117:AC172" si="19">K117-O$177</f>
        <v>-2.629411764705214E-4</v>
      </c>
      <c r="AD117" s="2">
        <f t="shared" si="14"/>
        <v>1.3830734215069052E-6</v>
      </c>
      <c r="AE117" s="45">
        <f t="shared" si="14"/>
        <v>6.9138062283701874E-8</v>
      </c>
      <c r="AF117" s="3">
        <f t="shared" si="15"/>
        <v>1.0853095422474069E-3</v>
      </c>
      <c r="AG117" s="17">
        <f t="shared" si="16"/>
        <v>1.0853095422474069E-3</v>
      </c>
      <c r="AH117" s="5">
        <f t="shared" ref="AH117:AH172" si="20">AG117*100</f>
        <v>0.1085309542247407</v>
      </c>
    </row>
    <row r="118" spans="2:34" x14ac:dyDescent="0.3">
      <c r="B118" s="9" t="s">
        <v>123</v>
      </c>
      <c r="C118" s="54">
        <v>1.0805</v>
      </c>
      <c r="D118" s="55">
        <v>1.0860000000000001</v>
      </c>
      <c r="E118" s="54">
        <v>1.0869</v>
      </c>
      <c r="F118" s="55">
        <v>1.0802</v>
      </c>
      <c r="G118" s="58">
        <v>1.0886800000000001</v>
      </c>
      <c r="H118" s="59">
        <v>1.091</v>
      </c>
      <c r="I118" s="58">
        <v>1.08524</v>
      </c>
      <c r="J118" s="59">
        <v>1.08802</v>
      </c>
      <c r="K118" s="54">
        <v>1.0805</v>
      </c>
      <c r="L118" s="60">
        <v>1.1852241424000003</v>
      </c>
      <c r="M118" s="61">
        <v>1.1902809999999999</v>
      </c>
      <c r="N118" s="60">
        <v>1.1777458575999999</v>
      </c>
      <c r="O118" s="61">
        <v>1.1837875203999999</v>
      </c>
      <c r="P118" s="60">
        <v>1.1674802500000001</v>
      </c>
      <c r="Q118" s="36">
        <v>1.1877498800000001</v>
      </c>
      <c r="R118" s="23">
        <v>1.1814790832000002</v>
      </c>
      <c r="S118" s="36">
        <v>1.1845056136000001</v>
      </c>
      <c r="T118" s="23">
        <v>1.1839968400000001</v>
      </c>
      <c r="U118" s="36">
        <v>1.18702982</v>
      </c>
      <c r="V118" s="23">
        <v>1.1807628247999999</v>
      </c>
      <c r="W118" s="36">
        <v>1.1763187400000001</v>
      </c>
      <c r="X118" s="23">
        <v>1.1788255000000001</v>
      </c>
      <c r="Y118" s="36">
        <v>1.1726018199999999</v>
      </c>
      <c r="Z118" s="23">
        <v>1.1756056100000001</v>
      </c>
      <c r="AA118" s="9">
        <f t="shared" si="18"/>
        <v>1.0863814109852514</v>
      </c>
      <c r="AB118" s="1">
        <f t="shared" si="17"/>
        <v>-5.8814109852514118E-3</v>
      </c>
      <c r="AC118" s="9">
        <f t="shared" si="19"/>
        <v>-3.362941176470402E-3</v>
      </c>
      <c r="AD118" s="2">
        <f t="shared" ref="AD118:AE172" si="21">AB118^2</f>
        <v>3.4590995177435982E-5</v>
      </c>
      <c r="AE118" s="45">
        <f t="shared" si="21"/>
        <v>1.1309373356400132E-5</v>
      </c>
      <c r="AF118" s="3">
        <f t="shared" ref="AF118:AF172" si="22">AB118/K118</f>
        <v>-5.443230897965212E-3</v>
      </c>
      <c r="AG118" s="17">
        <f t="shared" ref="AG118:AG172" si="23">ABS(AF118)</f>
        <v>5.443230897965212E-3</v>
      </c>
      <c r="AH118" s="5">
        <f t="shared" si="20"/>
        <v>0.54432308979652122</v>
      </c>
    </row>
    <row r="119" spans="2:34" x14ac:dyDescent="0.3">
      <c r="B119" s="9" t="s">
        <v>124</v>
      </c>
      <c r="C119" s="54">
        <v>1.0860000000000001</v>
      </c>
      <c r="D119" s="55">
        <v>1.0921000000000001</v>
      </c>
      <c r="E119" s="54">
        <v>1.0943000000000001</v>
      </c>
      <c r="F119" s="55">
        <v>1.0854999999999999</v>
      </c>
      <c r="G119" s="58">
        <v>1.0892599999999999</v>
      </c>
      <c r="H119" s="59">
        <v>1.0912399999999998</v>
      </c>
      <c r="I119" s="58">
        <v>1.0857399999999999</v>
      </c>
      <c r="J119" s="59">
        <v>1.0884399999999999</v>
      </c>
      <c r="K119" s="54">
        <v>1.0860000000000001</v>
      </c>
      <c r="L119" s="60">
        <v>1.1864873475999997</v>
      </c>
      <c r="M119" s="61">
        <v>1.1908047375999995</v>
      </c>
      <c r="N119" s="60">
        <v>1.1788313475999999</v>
      </c>
      <c r="O119" s="61">
        <v>1.1847016335999996</v>
      </c>
      <c r="P119" s="60">
        <v>1.1793960000000001</v>
      </c>
      <c r="Q119" s="36">
        <v>1.1886440823999995</v>
      </c>
      <c r="R119" s="23">
        <v>1.1826531523999999</v>
      </c>
      <c r="S119" s="36">
        <v>1.1855941543999997</v>
      </c>
      <c r="T119" s="23">
        <v>1.1848029175999997</v>
      </c>
      <c r="U119" s="36">
        <v>1.1877492655999995</v>
      </c>
      <c r="V119" s="23">
        <v>1.1817628455999998</v>
      </c>
      <c r="W119" s="36">
        <v>1.18293636</v>
      </c>
      <c r="X119" s="23">
        <v>1.1850866399999997</v>
      </c>
      <c r="Y119" s="36">
        <v>1.17911364</v>
      </c>
      <c r="Z119" s="23">
        <v>1.18204584</v>
      </c>
      <c r="AA119" s="9">
        <f t="shared" si="18"/>
        <v>1.0863740177478447</v>
      </c>
      <c r="AB119" s="1">
        <f t="shared" si="17"/>
        <v>-3.7401774784462383E-4</v>
      </c>
      <c r="AC119" s="9">
        <f t="shared" si="19"/>
        <v>2.1370588235296584E-3</v>
      </c>
      <c r="AD119" s="2">
        <f t="shared" si="21"/>
        <v>1.3988927570276461E-7</v>
      </c>
      <c r="AE119" s="45">
        <f t="shared" si="21"/>
        <v>4.5670204152259677E-6</v>
      </c>
      <c r="AF119" s="3">
        <f t="shared" si="22"/>
        <v>-3.4439939948860388E-4</v>
      </c>
      <c r="AG119" s="17">
        <f t="shared" si="23"/>
        <v>3.4439939948860388E-4</v>
      </c>
      <c r="AH119" s="5">
        <f t="shared" si="20"/>
        <v>3.4439939948860389E-2</v>
      </c>
    </row>
    <row r="120" spans="2:34" x14ac:dyDescent="0.3">
      <c r="B120" s="9" t="s">
        <v>125</v>
      </c>
      <c r="C120" s="54">
        <v>1.0918000000000001</v>
      </c>
      <c r="D120" s="55">
        <v>1.0864</v>
      </c>
      <c r="E120" s="54">
        <v>1.0924</v>
      </c>
      <c r="F120" s="55">
        <v>1.0835999999999999</v>
      </c>
      <c r="G120" s="58">
        <v>1.0905</v>
      </c>
      <c r="H120" s="59">
        <v>1.0920399999999999</v>
      </c>
      <c r="I120" s="58">
        <v>1.0874200000000003</v>
      </c>
      <c r="J120" s="59">
        <v>1.089</v>
      </c>
      <c r="K120" s="54">
        <v>1.0918000000000001</v>
      </c>
      <c r="L120" s="60">
        <v>1.18919025</v>
      </c>
      <c r="M120" s="61">
        <v>1.1925513615999999</v>
      </c>
      <c r="N120" s="60">
        <v>1.1824822564000006</v>
      </c>
      <c r="O120" s="61">
        <v>1.185921</v>
      </c>
      <c r="P120" s="60">
        <v>1.1920272400000003</v>
      </c>
      <c r="Q120" s="36">
        <v>1.19086962</v>
      </c>
      <c r="R120" s="23">
        <v>1.1858315100000003</v>
      </c>
      <c r="S120" s="36">
        <v>1.1875545000000001</v>
      </c>
      <c r="T120" s="23">
        <v>1.1875061368000002</v>
      </c>
      <c r="U120" s="36">
        <v>1.1892315599999999</v>
      </c>
      <c r="V120" s="23">
        <v>1.1842003800000003</v>
      </c>
      <c r="W120" s="36">
        <v>1.1906079000000001</v>
      </c>
      <c r="X120" s="23">
        <v>1.192289272</v>
      </c>
      <c r="Y120" s="36">
        <v>1.1872451560000004</v>
      </c>
      <c r="Z120" s="23">
        <v>1.1889702</v>
      </c>
      <c r="AA120" s="9">
        <f t="shared" si="18"/>
        <v>1.085952582935638</v>
      </c>
      <c r="AB120" s="1">
        <f t="shared" si="17"/>
        <v>5.8474170643620926E-3</v>
      </c>
      <c r="AC120" s="9">
        <f t="shared" si="19"/>
        <v>7.9370588235296857E-3</v>
      </c>
      <c r="AD120" s="2">
        <f t="shared" si="21"/>
        <v>3.4192286324592996E-5</v>
      </c>
      <c r="AE120" s="45">
        <f t="shared" si="21"/>
        <v>6.2996902768170445E-5</v>
      </c>
      <c r="AF120" s="3">
        <f t="shared" si="22"/>
        <v>5.355758439606239E-3</v>
      </c>
      <c r="AG120" s="17">
        <f t="shared" si="23"/>
        <v>5.355758439606239E-3</v>
      </c>
      <c r="AH120" s="5">
        <f t="shared" si="20"/>
        <v>0.53557584396062385</v>
      </c>
    </row>
    <row r="121" spans="2:34" x14ac:dyDescent="0.3">
      <c r="B121" s="9" t="s">
        <v>126</v>
      </c>
      <c r="C121" s="54">
        <v>1.0865</v>
      </c>
      <c r="D121" s="55">
        <v>1.0872999999999999</v>
      </c>
      <c r="E121" s="54">
        <v>1.0876999999999999</v>
      </c>
      <c r="F121" s="55">
        <v>1.0833999999999999</v>
      </c>
      <c r="G121" s="58">
        <v>1.09154</v>
      </c>
      <c r="H121" s="59">
        <v>1.0934200000000001</v>
      </c>
      <c r="I121" s="58">
        <v>1.0887199999999999</v>
      </c>
      <c r="J121" s="59">
        <v>1.0901799999999997</v>
      </c>
      <c r="K121" s="54">
        <v>1.0865</v>
      </c>
      <c r="L121" s="60">
        <v>1.1914595715999998</v>
      </c>
      <c r="M121" s="61">
        <v>1.1955672964000001</v>
      </c>
      <c r="N121" s="60">
        <v>1.1853112383999997</v>
      </c>
      <c r="O121" s="61">
        <v>1.1884924323999995</v>
      </c>
      <c r="P121" s="60">
        <v>1.1804822500000001</v>
      </c>
      <c r="Q121" s="36">
        <v>1.1935116668000001</v>
      </c>
      <c r="R121" s="23">
        <v>1.1883814287999999</v>
      </c>
      <c r="S121" s="36">
        <v>1.1899750771999997</v>
      </c>
      <c r="T121" s="23">
        <v>1.1904282224</v>
      </c>
      <c r="U121" s="36">
        <v>1.1920246155999998</v>
      </c>
      <c r="V121" s="23">
        <v>1.1869007695999996</v>
      </c>
      <c r="W121" s="36">
        <v>1.1859582099999999</v>
      </c>
      <c r="X121" s="23">
        <v>1.18800083</v>
      </c>
      <c r="Y121" s="36">
        <v>1.18289428</v>
      </c>
      <c r="Z121" s="23">
        <v>1.1844805699999996</v>
      </c>
      <c r="AA121" s="9">
        <f t="shared" si="18"/>
        <v>1.0874802354494788</v>
      </c>
      <c r="AB121" s="1">
        <f t="shared" si="17"/>
        <v>-9.8023544947878349E-4</v>
      </c>
      <c r="AC121" s="9">
        <f t="shared" si="19"/>
        <v>2.6370588235296033E-3</v>
      </c>
      <c r="AD121" s="2">
        <f t="shared" si="21"/>
        <v>9.6086153641487272E-7</v>
      </c>
      <c r="AE121" s="45">
        <f t="shared" si="21"/>
        <v>6.9540792387553352E-6</v>
      </c>
      <c r="AF121" s="3">
        <f t="shared" si="22"/>
        <v>-9.0219553564545188E-4</v>
      </c>
      <c r="AG121" s="17">
        <f t="shared" si="23"/>
        <v>9.0219553564545188E-4</v>
      </c>
      <c r="AH121" s="5">
        <f t="shared" si="20"/>
        <v>9.0219553564545182E-2</v>
      </c>
    </row>
    <row r="122" spans="2:34" x14ac:dyDescent="0.3">
      <c r="B122" s="9" t="s">
        <v>127</v>
      </c>
      <c r="C122" s="54">
        <v>1.0871</v>
      </c>
      <c r="D122" s="55">
        <v>1.0892999999999999</v>
      </c>
      <c r="E122" s="54">
        <v>1.0906</v>
      </c>
      <c r="F122" s="55">
        <v>1.0865</v>
      </c>
      <c r="G122" s="58">
        <v>1.0925600000000002</v>
      </c>
      <c r="H122" s="59">
        <v>1.09426</v>
      </c>
      <c r="I122" s="58">
        <v>1.0897000000000001</v>
      </c>
      <c r="J122" s="59">
        <v>1.0912799999999998</v>
      </c>
      <c r="K122" s="54">
        <v>1.0871</v>
      </c>
      <c r="L122" s="60">
        <v>1.1936873536000003</v>
      </c>
      <c r="M122" s="61">
        <v>1.1974049475999999</v>
      </c>
      <c r="N122" s="60">
        <v>1.1874460900000003</v>
      </c>
      <c r="O122" s="61">
        <v>1.1908920383999997</v>
      </c>
      <c r="P122" s="60">
        <v>1.18178641</v>
      </c>
      <c r="Q122" s="36">
        <v>1.1955447056000001</v>
      </c>
      <c r="R122" s="23">
        <v>1.1905626320000002</v>
      </c>
      <c r="S122" s="36">
        <v>1.1922888768</v>
      </c>
      <c r="T122" s="23">
        <v>1.1924151220000001</v>
      </c>
      <c r="U122" s="36">
        <v>1.1941440527999998</v>
      </c>
      <c r="V122" s="23">
        <v>1.1891678159999999</v>
      </c>
      <c r="W122" s="36">
        <v>1.1877219760000002</v>
      </c>
      <c r="X122" s="23">
        <v>1.189570046</v>
      </c>
      <c r="Y122" s="36">
        <v>1.18461287</v>
      </c>
      <c r="Z122" s="23">
        <v>1.1863304879999998</v>
      </c>
      <c r="AA122" s="9">
        <f t="shared" si="18"/>
        <v>1.0885318090113234</v>
      </c>
      <c r="AB122" s="1">
        <f t="shared" si="17"/>
        <v>-1.4318090113234483E-3</v>
      </c>
      <c r="AC122" s="9">
        <f t="shared" si="19"/>
        <v>3.2370588235295372E-3</v>
      </c>
      <c r="AD122" s="2">
        <f t="shared" si="21"/>
        <v>2.0500770449070306E-6</v>
      </c>
      <c r="AE122" s="45">
        <f t="shared" si="21"/>
        <v>1.0478549826990432E-5</v>
      </c>
      <c r="AF122" s="3">
        <f t="shared" si="22"/>
        <v>-1.317090434480221E-3</v>
      </c>
      <c r="AG122" s="17">
        <f t="shared" si="23"/>
        <v>1.317090434480221E-3</v>
      </c>
      <c r="AH122" s="5">
        <f t="shared" si="20"/>
        <v>0.13170904344802212</v>
      </c>
    </row>
    <row r="123" spans="2:34" x14ac:dyDescent="0.3">
      <c r="B123" s="9" t="s">
        <v>128</v>
      </c>
      <c r="C123" s="54">
        <v>1.0887</v>
      </c>
      <c r="D123" s="55">
        <v>1.0883</v>
      </c>
      <c r="E123" s="54">
        <v>1.0900000000000001</v>
      </c>
      <c r="F123" s="55">
        <v>1.0871999999999999</v>
      </c>
      <c r="G123" s="58">
        <v>1.0938600000000001</v>
      </c>
      <c r="H123" s="59">
        <v>1.0959000000000001</v>
      </c>
      <c r="I123" s="58">
        <v>1.0906400000000001</v>
      </c>
      <c r="J123" s="59">
        <v>1.0922800000000001</v>
      </c>
      <c r="K123" s="54">
        <v>1.0887</v>
      </c>
      <c r="L123" s="60">
        <v>1.1965296996000001</v>
      </c>
      <c r="M123" s="61">
        <v>1.2009968100000001</v>
      </c>
      <c r="N123" s="60">
        <v>1.1894956096000002</v>
      </c>
      <c r="O123" s="61">
        <v>1.1930755984000003</v>
      </c>
      <c r="P123" s="60">
        <v>1.1852676900000001</v>
      </c>
      <c r="Q123" s="36">
        <v>1.1987611740000002</v>
      </c>
      <c r="R123" s="23">
        <v>1.1930074704000002</v>
      </c>
      <c r="S123" s="36">
        <v>1.1948014008000003</v>
      </c>
      <c r="T123" s="23">
        <v>1.1952323760000001</v>
      </c>
      <c r="U123" s="36">
        <v>1.1970296520000003</v>
      </c>
      <c r="V123" s="23">
        <v>1.1912842592000001</v>
      </c>
      <c r="W123" s="36">
        <v>1.190885382</v>
      </c>
      <c r="X123" s="23">
        <v>1.1931063300000002</v>
      </c>
      <c r="Y123" s="36">
        <v>1.187379768</v>
      </c>
      <c r="Z123" s="23">
        <v>1.1891652360000002</v>
      </c>
      <c r="AA123" s="9">
        <f t="shared" si="18"/>
        <v>1.0888271200145947</v>
      </c>
      <c r="AB123" s="1">
        <f t="shared" si="17"/>
        <v>-1.2712001459469491E-4</v>
      </c>
      <c r="AC123" s="9">
        <f t="shared" si="19"/>
        <v>4.8370588235295831E-3</v>
      </c>
      <c r="AD123" s="2">
        <f t="shared" si="21"/>
        <v>1.6159498110555448E-8</v>
      </c>
      <c r="AE123" s="45">
        <f t="shared" si="21"/>
        <v>2.3397138062285393E-5</v>
      </c>
      <c r="AF123" s="3">
        <f t="shared" si="22"/>
        <v>-1.1676312537401939E-4</v>
      </c>
      <c r="AG123" s="17">
        <f t="shared" si="23"/>
        <v>1.1676312537401939E-4</v>
      </c>
      <c r="AH123" s="5">
        <f t="shared" si="20"/>
        <v>1.1676312537401938E-2</v>
      </c>
    </row>
    <row r="124" spans="2:34" x14ac:dyDescent="0.3">
      <c r="B124" s="9" t="s">
        <v>129</v>
      </c>
      <c r="C124" s="54">
        <v>1.0881000000000001</v>
      </c>
      <c r="D124" s="55">
        <v>1.095</v>
      </c>
      <c r="E124" s="54">
        <v>1.0954999999999999</v>
      </c>
      <c r="F124" s="55">
        <v>1.0880000000000001</v>
      </c>
      <c r="G124" s="58">
        <v>1.0928</v>
      </c>
      <c r="H124" s="59">
        <v>1.0958000000000001</v>
      </c>
      <c r="I124" s="58">
        <v>1.0904</v>
      </c>
      <c r="J124" s="59">
        <v>1.09358</v>
      </c>
      <c r="K124" s="54">
        <v>1.0881000000000001</v>
      </c>
      <c r="L124" s="60">
        <v>1.1942118399999999</v>
      </c>
      <c r="M124" s="61">
        <v>1.2007776400000003</v>
      </c>
      <c r="N124" s="60">
        <v>1.1889721600000001</v>
      </c>
      <c r="O124" s="61">
        <v>1.1959172164</v>
      </c>
      <c r="P124" s="60">
        <v>1.1839616100000001</v>
      </c>
      <c r="Q124" s="36">
        <v>1.19749024</v>
      </c>
      <c r="R124" s="23">
        <v>1.1915891199999999</v>
      </c>
      <c r="S124" s="36">
        <v>1.195064224</v>
      </c>
      <c r="T124" s="23">
        <v>1.1948603200000001</v>
      </c>
      <c r="U124" s="36">
        <v>1.1983449640000001</v>
      </c>
      <c r="V124" s="23">
        <v>1.1924396320000001</v>
      </c>
      <c r="W124" s="36">
        <v>1.18907568</v>
      </c>
      <c r="X124" s="23">
        <v>1.1923399800000003</v>
      </c>
      <c r="Y124" s="36">
        <v>1.1864642400000001</v>
      </c>
      <c r="Z124" s="23">
        <v>1.189924398</v>
      </c>
      <c r="AA124" s="9">
        <f t="shared" si="18"/>
        <v>1.094479938971574</v>
      </c>
      <c r="AB124" s="1">
        <f t="shared" si="17"/>
        <v>-6.3799389715739618E-3</v>
      </c>
      <c r="AC124" s="9">
        <f t="shared" si="19"/>
        <v>4.2370588235296491E-3</v>
      </c>
      <c r="AD124" s="2">
        <f t="shared" si="21"/>
        <v>4.070362128100822E-5</v>
      </c>
      <c r="AE124" s="45">
        <f t="shared" si="21"/>
        <v>1.7952667474050454E-5</v>
      </c>
      <c r="AF124" s="3">
        <f t="shared" si="22"/>
        <v>-5.8633755827350075E-3</v>
      </c>
      <c r="AG124" s="17">
        <f t="shared" si="23"/>
        <v>5.8633755827350075E-3</v>
      </c>
      <c r="AH124" s="5">
        <f t="shared" si="20"/>
        <v>0.58633755827350076</v>
      </c>
    </row>
    <row r="125" spans="2:34" x14ac:dyDescent="0.3">
      <c r="B125" s="9" t="s">
        <v>130</v>
      </c>
      <c r="C125" s="54">
        <v>1.0946</v>
      </c>
      <c r="D125" s="55">
        <v>1.0926</v>
      </c>
      <c r="E125" s="54">
        <v>1.0964</v>
      </c>
      <c r="F125" s="55">
        <v>1.0920000000000001</v>
      </c>
      <c r="G125" s="58">
        <v>1.0914600000000001</v>
      </c>
      <c r="H125" s="59">
        <v>1.09484</v>
      </c>
      <c r="I125" s="58">
        <v>1.0888200000000001</v>
      </c>
      <c r="J125" s="59">
        <v>1.0925999999999998</v>
      </c>
      <c r="K125" s="54">
        <v>1.0946</v>
      </c>
      <c r="L125" s="60">
        <v>1.1912849316000003</v>
      </c>
      <c r="M125" s="61">
        <v>1.1986746256</v>
      </c>
      <c r="N125" s="60">
        <v>1.1855289924000003</v>
      </c>
      <c r="O125" s="61">
        <v>1.1937747599999995</v>
      </c>
      <c r="P125" s="60">
        <v>1.19814916</v>
      </c>
      <c r="Q125" s="36">
        <v>1.1949740664000001</v>
      </c>
      <c r="R125" s="23">
        <v>1.1884034772000003</v>
      </c>
      <c r="S125" s="36">
        <v>1.192529196</v>
      </c>
      <c r="T125" s="23">
        <v>1.1920836888000002</v>
      </c>
      <c r="U125" s="36">
        <v>1.1962221839999998</v>
      </c>
      <c r="V125" s="23">
        <v>1.1896447319999999</v>
      </c>
      <c r="W125" s="36">
        <v>1.194712116</v>
      </c>
      <c r="X125" s="23">
        <v>1.1984118640000001</v>
      </c>
      <c r="Y125" s="36">
        <v>1.1918223720000001</v>
      </c>
      <c r="Z125" s="23">
        <v>1.1959599599999997</v>
      </c>
      <c r="AA125" s="9">
        <f t="shared" si="18"/>
        <v>1.0941182878060021</v>
      </c>
      <c r="AB125" s="1">
        <f t="shared" si="17"/>
        <v>4.8171219399795184E-4</v>
      </c>
      <c r="AC125" s="9">
        <f t="shared" si="19"/>
        <v>1.0737058823529599E-2</v>
      </c>
      <c r="AD125" s="2">
        <f t="shared" si="21"/>
        <v>2.320466378463204E-7</v>
      </c>
      <c r="AE125" s="45">
        <f t="shared" si="21"/>
        <v>1.1528443217993483E-4</v>
      </c>
      <c r="AF125" s="3">
        <f t="shared" si="22"/>
        <v>4.4008057189653921E-4</v>
      </c>
      <c r="AG125" s="17">
        <f t="shared" si="23"/>
        <v>4.4008057189653921E-4</v>
      </c>
      <c r="AH125" s="5">
        <f t="shared" si="20"/>
        <v>4.4008057189653921E-2</v>
      </c>
    </row>
    <row r="126" spans="2:34" x14ac:dyDescent="0.3">
      <c r="B126" s="40">
        <v>45629</v>
      </c>
      <c r="C126" s="54">
        <v>1.0924</v>
      </c>
      <c r="D126" s="55">
        <v>1.0925</v>
      </c>
      <c r="E126" s="54">
        <v>1.0946</v>
      </c>
      <c r="F126" s="55">
        <v>1.0899000000000001</v>
      </c>
      <c r="G126" s="58">
        <v>1.09006</v>
      </c>
      <c r="H126" s="59">
        <v>1.0934599999999999</v>
      </c>
      <c r="I126" s="58">
        <v>1.0876399999999999</v>
      </c>
      <c r="J126" s="59">
        <v>1.0912199999999999</v>
      </c>
      <c r="K126" s="54">
        <v>1.0924</v>
      </c>
      <c r="L126" s="60">
        <v>1.1882308036</v>
      </c>
      <c r="M126" s="61">
        <v>1.1956547715999997</v>
      </c>
      <c r="N126" s="60">
        <v>1.1829607696</v>
      </c>
      <c r="O126" s="61">
        <v>1.1907610883999997</v>
      </c>
      <c r="P126" s="60">
        <v>1.1933377600000001</v>
      </c>
      <c r="Q126" s="36">
        <v>1.1919370076</v>
      </c>
      <c r="R126" s="23">
        <v>1.1855928583999999</v>
      </c>
      <c r="S126" s="36">
        <v>1.1894952731999999</v>
      </c>
      <c r="T126" s="23">
        <v>1.1892908343999997</v>
      </c>
      <c r="U126" s="36">
        <v>1.1932054211999996</v>
      </c>
      <c r="V126" s="23">
        <v>1.1868545207999999</v>
      </c>
      <c r="W126" s="36">
        <v>1.190781544</v>
      </c>
      <c r="X126" s="23">
        <v>1.1944957039999999</v>
      </c>
      <c r="Y126" s="36">
        <v>1.188137936</v>
      </c>
      <c r="Z126" s="23">
        <v>1.1920487279999998</v>
      </c>
      <c r="AA126" s="9">
        <f t="shared" si="18"/>
        <v>1.0930406945415325</v>
      </c>
      <c r="AB126" s="1">
        <f t="shared" si="17"/>
        <v>-6.4069454153248273E-4</v>
      </c>
      <c r="AC126" s="9">
        <f t="shared" si="19"/>
        <v>8.5370588235296196E-3</v>
      </c>
      <c r="AD126" s="2">
        <f t="shared" si="21"/>
        <v>4.1048949554951822E-7</v>
      </c>
      <c r="AE126" s="45">
        <f t="shared" si="21"/>
        <v>7.2881373356404938E-5</v>
      </c>
      <c r="AF126" s="3">
        <f t="shared" si="22"/>
        <v>-5.8650177730911997E-4</v>
      </c>
      <c r="AG126" s="17">
        <f t="shared" si="23"/>
        <v>5.8650177730911997E-4</v>
      </c>
      <c r="AH126" s="5">
        <f t="shared" si="20"/>
        <v>5.8650177730911995E-2</v>
      </c>
    </row>
    <row r="127" spans="2:34" x14ac:dyDescent="0.3">
      <c r="B127" s="40">
        <v>45599</v>
      </c>
      <c r="C127" s="54">
        <v>1.0926</v>
      </c>
      <c r="D127" s="55">
        <v>1.0944</v>
      </c>
      <c r="E127" s="54">
        <v>1.0948</v>
      </c>
      <c r="F127" s="55">
        <v>1.0913999999999999</v>
      </c>
      <c r="G127" s="58">
        <v>1.08802</v>
      </c>
      <c r="H127" s="59">
        <v>1.0918600000000001</v>
      </c>
      <c r="I127" s="58">
        <v>1.08612</v>
      </c>
      <c r="J127" s="59">
        <v>1.0897799999999997</v>
      </c>
      <c r="K127" s="54">
        <v>1.0926</v>
      </c>
      <c r="L127" s="60">
        <v>1.1837875203999999</v>
      </c>
      <c r="M127" s="61">
        <v>1.1921582596000002</v>
      </c>
      <c r="N127" s="60">
        <v>1.1796566544</v>
      </c>
      <c r="O127" s="61">
        <v>1.1876204483999995</v>
      </c>
      <c r="P127" s="60">
        <v>1.1937747599999999</v>
      </c>
      <c r="Q127" s="36">
        <v>1.1879655172000001</v>
      </c>
      <c r="R127" s="23">
        <v>1.1817202823999999</v>
      </c>
      <c r="S127" s="36">
        <v>1.1857024355999997</v>
      </c>
      <c r="T127" s="23">
        <v>1.1858909832</v>
      </c>
      <c r="U127" s="36">
        <v>1.1898871907999997</v>
      </c>
      <c r="V127" s="23">
        <v>1.1836318535999997</v>
      </c>
      <c r="W127" s="36">
        <v>1.1887706520000001</v>
      </c>
      <c r="X127" s="23">
        <v>1.1929662360000002</v>
      </c>
      <c r="Y127" s="36">
        <v>1.186694712</v>
      </c>
      <c r="Z127" s="23">
        <v>1.1906936279999998</v>
      </c>
      <c r="AA127" s="9">
        <f t="shared" si="18"/>
        <v>1.0931143435243054</v>
      </c>
      <c r="AB127" s="1">
        <f t="shared" si="17"/>
        <v>-5.1434352430534958E-4</v>
      </c>
      <c r="AC127" s="9">
        <f t="shared" si="19"/>
        <v>8.7370588235295976E-3</v>
      </c>
      <c r="AD127" s="2">
        <f t="shared" si="21"/>
        <v>2.6454926099484775E-7</v>
      </c>
      <c r="AE127" s="45">
        <f t="shared" si="21"/>
        <v>7.6336196885816402E-5</v>
      </c>
      <c r="AF127" s="3">
        <f t="shared" si="22"/>
        <v>-4.7075189850388939E-4</v>
      </c>
      <c r="AG127" s="17">
        <f t="shared" si="23"/>
        <v>4.7075189850388939E-4</v>
      </c>
      <c r="AH127" s="5">
        <f t="shared" si="20"/>
        <v>4.7075189850388936E-2</v>
      </c>
    </row>
    <row r="128" spans="2:34" x14ac:dyDescent="0.3">
      <c r="B128" s="40">
        <v>45507</v>
      </c>
      <c r="C128" s="54">
        <v>1.0936999999999999</v>
      </c>
      <c r="D128" s="55">
        <v>1.0948</v>
      </c>
      <c r="E128" s="54">
        <v>1.0982000000000001</v>
      </c>
      <c r="F128" s="55">
        <v>1.0919000000000001</v>
      </c>
      <c r="G128" s="58">
        <v>1.08514</v>
      </c>
      <c r="H128" s="59">
        <v>1.0890999999999997</v>
      </c>
      <c r="I128" s="58">
        <v>1.08368</v>
      </c>
      <c r="J128" s="59">
        <v>1.08778</v>
      </c>
      <c r="K128" s="54">
        <v>1.0936999999999999</v>
      </c>
      <c r="L128" s="60">
        <v>1.1775288196</v>
      </c>
      <c r="M128" s="61">
        <v>1.1861388099999994</v>
      </c>
      <c r="N128" s="60">
        <v>1.1743623424</v>
      </c>
      <c r="O128" s="61">
        <v>1.1832653283999999</v>
      </c>
      <c r="P128" s="60">
        <v>1.1961796899999997</v>
      </c>
      <c r="Q128" s="36">
        <v>1.1818259739999997</v>
      </c>
      <c r="R128" s="23">
        <v>1.1759445151999999</v>
      </c>
      <c r="S128" s="36">
        <v>1.1803935891999999</v>
      </c>
      <c r="T128" s="23">
        <v>1.1802358879999997</v>
      </c>
      <c r="U128" s="36">
        <v>1.1847011979999997</v>
      </c>
      <c r="V128" s="23">
        <v>1.1788054304</v>
      </c>
      <c r="W128" s="36">
        <v>1.1868176179999999</v>
      </c>
      <c r="X128" s="23">
        <v>1.1911486699999996</v>
      </c>
      <c r="Y128" s="36">
        <v>1.185220816</v>
      </c>
      <c r="Z128" s="23">
        <v>1.1897049859999997</v>
      </c>
      <c r="AA128" s="9">
        <f t="shared" si="18"/>
        <v>1.0930000981586421</v>
      </c>
      <c r="AB128" s="1">
        <f t="shared" si="17"/>
        <v>6.9990184135781952E-4</v>
      </c>
      <c r="AC128" s="9">
        <f t="shared" si="19"/>
        <v>9.8370588235294765E-3</v>
      </c>
      <c r="AD128" s="2">
        <f t="shared" si="21"/>
        <v>4.8986258753606638E-7</v>
      </c>
      <c r="AE128" s="45">
        <f t="shared" si="21"/>
        <v>9.676772629757913E-5</v>
      </c>
      <c r="AF128" s="3">
        <f t="shared" si="22"/>
        <v>6.3993950933329024E-4</v>
      </c>
      <c r="AG128" s="17">
        <f t="shared" si="23"/>
        <v>6.3993950933329024E-4</v>
      </c>
      <c r="AH128" s="5">
        <f t="shared" si="20"/>
        <v>6.3993950933329019E-2</v>
      </c>
    </row>
    <row r="129" spans="2:34" x14ac:dyDescent="0.3">
      <c r="B129" s="40">
        <v>45476</v>
      </c>
      <c r="C129" s="54">
        <v>1.0946</v>
      </c>
      <c r="D129" s="55">
        <v>1.0896999999999999</v>
      </c>
      <c r="E129" s="54">
        <v>1.095</v>
      </c>
      <c r="F129" s="55">
        <v>1.0868</v>
      </c>
      <c r="G129" s="58">
        <v>1.08392</v>
      </c>
      <c r="H129" s="59">
        <v>1.08724</v>
      </c>
      <c r="I129" s="58">
        <v>1.08222</v>
      </c>
      <c r="J129" s="59">
        <v>1.0849199999999999</v>
      </c>
      <c r="K129" s="54">
        <v>1.0946</v>
      </c>
      <c r="L129" s="60">
        <v>1.1748825664</v>
      </c>
      <c r="M129" s="61">
        <v>1.1820908176</v>
      </c>
      <c r="N129" s="60">
        <v>1.1712001284</v>
      </c>
      <c r="O129" s="61">
        <v>1.1770514063999997</v>
      </c>
      <c r="P129" s="60">
        <v>1.19814916</v>
      </c>
      <c r="Q129" s="36">
        <v>1.1784811808</v>
      </c>
      <c r="R129" s="23">
        <v>1.1730399024</v>
      </c>
      <c r="S129" s="36">
        <v>1.1759664863999999</v>
      </c>
      <c r="T129" s="23">
        <v>1.1766328728</v>
      </c>
      <c r="U129" s="36">
        <v>1.1795684207999999</v>
      </c>
      <c r="V129" s="23">
        <v>1.1741221223999998</v>
      </c>
      <c r="W129" s="36">
        <v>1.186458832</v>
      </c>
      <c r="X129" s="23">
        <v>1.1900929039999999</v>
      </c>
      <c r="Y129" s="36">
        <v>1.1845980119999999</v>
      </c>
      <c r="Z129" s="23">
        <v>1.1875534319999999</v>
      </c>
      <c r="AA129" s="9">
        <f t="shared" si="18"/>
        <v>1.0875093508412199</v>
      </c>
      <c r="AB129" s="1">
        <f t="shared" si="17"/>
        <v>7.0906491587801046E-3</v>
      </c>
      <c r="AC129" s="9">
        <f t="shared" si="19"/>
        <v>1.0737058823529599E-2</v>
      </c>
      <c r="AD129" s="2">
        <f t="shared" si="21"/>
        <v>5.0277305492909005E-5</v>
      </c>
      <c r="AE129" s="45">
        <f t="shared" si="21"/>
        <v>1.1528443217993483E-4</v>
      </c>
      <c r="AF129" s="3">
        <f t="shared" si="22"/>
        <v>6.4778450198977747E-3</v>
      </c>
      <c r="AG129" s="17">
        <f t="shared" si="23"/>
        <v>6.4778450198977747E-3</v>
      </c>
      <c r="AH129" s="5">
        <f t="shared" si="20"/>
        <v>0.64778450198977744</v>
      </c>
    </row>
    <row r="130" spans="2:34" x14ac:dyDescent="0.3">
      <c r="B130" s="40">
        <v>45446</v>
      </c>
      <c r="C130" s="54">
        <v>1.0896999999999999</v>
      </c>
      <c r="D130" s="55">
        <v>1.0859000000000001</v>
      </c>
      <c r="E130" s="54">
        <v>1.0915999999999999</v>
      </c>
      <c r="F130" s="55">
        <v>1.0841000000000001</v>
      </c>
      <c r="G130" s="58">
        <v>1.0836199999999998</v>
      </c>
      <c r="H130" s="59">
        <v>1.08588</v>
      </c>
      <c r="I130" s="58">
        <v>1.0813200000000001</v>
      </c>
      <c r="J130" s="59">
        <v>1.0836999999999999</v>
      </c>
      <c r="K130" s="54">
        <v>1.0896999999999999</v>
      </c>
      <c r="L130" s="60">
        <v>1.1742323043999996</v>
      </c>
      <c r="M130" s="61">
        <v>1.1791353743999999</v>
      </c>
      <c r="N130" s="60">
        <v>1.1692529424000002</v>
      </c>
      <c r="O130" s="61">
        <v>1.1744056899999997</v>
      </c>
      <c r="P130" s="60">
        <v>1.1874460899999997</v>
      </c>
      <c r="Q130" s="36">
        <v>1.1766812855999997</v>
      </c>
      <c r="R130" s="23">
        <v>1.1717399783999998</v>
      </c>
      <c r="S130" s="36">
        <v>1.1743189939999996</v>
      </c>
      <c r="T130" s="23">
        <v>1.1741837615999999</v>
      </c>
      <c r="U130" s="36">
        <v>1.1767681559999998</v>
      </c>
      <c r="V130" s="23">
        <v>1.1718264839999999</v>
      </c>
      <c r="W130" s="36">
        <v>1.1808207139999998</v>
      </c>
      <c r="X130" s="23">
        <v>1.1832834359999997</v>
      </c>
      <c r="Y130" s="36">
        <v>1.178314404</v>
      </c>
      <c r="Z130" s="23">
        <v>1.1809078899999998</v>
      </c>
      <c r="AA130" s="9">
        <f t="shared" si="18"/>
        <v>1.0843238917914979</v>
      </c>
      <c r="AB130" s="1">
        <f t="shared" si="17"/>
        <v>5.376108208501984E-3</v>
      </c>
      <c r="AC130" s="9">
        <f t="shared" si="19"/>
        <v>5.8370588235294729E-3</v>
      </c>
      <c r="AD130" s="2">
        <f t="shared" si="21"/>
        <v>2.8902539469522411E-5</v>
      </c>
      <c r="AE130" s="45">
        <f t="shared" si="21"/>
        <v>3.4071255709343273E-5</v>
      </c>
      <c r="AF130" s="3">
        <f t="shared" si="22"/>
        <v>4.9335672281380057E-3</v>
      </c>
      <c r="AG130" s="17">
        <f t="shared" si="23"/>
        <v>4.9335672281380057E-3</v>
      </c>
      <c r="AH130" s="5">
        <f t="shared" si="20"/>
        <v>0.49335672281380055</v>
      </c>
    </row>
    <row r="131" spans="2:34" x14ac:dyDescent="0.3">
      <c r="B131" s="40">
        <v>45415</v>
      </c>
      <c r="C131" s="54">
        <v>1.0854999999999999</v>
      </c>
      <c r="D131" s="55">
        <v>1.0854999999999999</v>
      </c>
      <c r="E131" s="54">
        <v>1.0876999999999999</v>
      </c>
      <c r="F131" s="55">
        <v>1.0840000000000001</v>
      </c>
      <c r="G131" s="58">
        <v>1.0835199999999998</v>
      </c>
      <c r="H131" s="59">
        <v>1.08568</v>
      </c>
      <c r="I131" s="58">
        <v>1.0811599999999999</v>
      </c>
      <c r="J131" s="59">
        <v>1.0834800000000002</v>
      </c>
      <c r="K131" s="54">
        <v>1.0854999999999999</v>
      </c>
      <c r="L131" s="60">
        <v>1.1740155903999996</v>
      </c>
      <c r="M131" s="61">
        <v>1.1787010624000001</v>
      </c>
      <c r="N131" s="60">
        <v>1.1689069455999999</v>
      </c>
      <c r="O131" s="61">
        <v>1.1739289104000006</v>
      </c>
      <c r="P131" s="60">
        <v>1.1783102499999998</v>
      </c>
      <c r="Q131" s="36">
        <v>1.1763559935999999</v>
      </c>
      <c r="R131" s="23">
        <v>1.1714584831999997</v>
      </c>
      <c r="S131" s="36">
        <v>1.1739722496</v>
      </c>
      <c r="T131" s="23">
        <v>1.1737937887999998</v>
      </c>
      <c r="U131" s="36">
        <v>1.1763125664000003</v>
      </c>
      <c r="V131" s="23">
        <v>1.1714152368000001</v>
      </c>
      <c r="W131" s="36">
        <v>1.1761609599999998</v>
      </c>
      <c r="X131" s="23">
        <v>1.1785056399999998</v>
      </c>
      <c r="Y131" s="36">
        <v>1.1735991799999999</v>
      </c>
      <c r="Z131" s="23">
        <v>1.1761175400000001</v>
      </c>
      <c r="AA131" s="9">
        <f t="shared" si="18"/>
        <v>1.0838738653031585</v>
      </c>
      <c r="AB131" s="1">
        <f t="shared" si="17"/>
        <v>1.6261346968413637E-3</v>
      </c>
      <c r="AC131" s="9">
        <f t="shared" si="19"/>
        <v>1.6370588235294914E-3</v>
      </c>
      <c r="AD131" s="2">
        <f t="shared" si="21"/>
        <v>2.6443140522713538E-6</v>
      </c>
      <c r="AE131" s="45">
        <f t="shared" si="21"/>
        <v>2.6799615916957625E-6</v>
      </c>
      <c r="AF131" s="3">
        <f t="shared" si="22"/>
        <v>1.4980513098492526E-3</v>
      </c>
      <c r="AG131" s="17">
        <f t="shared" si="23"/>
        <v>1.4980513098492526E-3</v>
      </c>
      <c r="AH131" s="5">
        <f t="shared" si="20"/>
        <v>0.14980513098492526</v>
      </c>
    </row>
    <row r="132" spans="2:34" x14ac:dyDescent="0.3">
      <c r="B132" s="40">
        <v>45385</v>
      </c>
      <c r="C132" s="54">
        <v>1.0853999999999999</v>
      </c>
      <c r="D132" s="55">
        <v>1.0842000000000001</v>
      </c>
      <c r="E132" s="54">
        <v>1.0868</v>
      </c>
      <c r="F132" s="55">
        <v>1.0838000000000001</v>
      </c>
      <c r="G132" s="58">
        <v>1.0831999999999999</v>
      </c>
      <c r="H132" s="59">
        <v>1.0855399999999999</v>
      </c>
      <c r="I132" s="58">
        <v>1.08064</v>
      </c>
      <c r="J132" s="59">
        <v>1.0833400000000002</v>
      </c>
      <c r="K132" s="54">
        <v>1.0853999999999999</v>
      </c>
      <c r="L132" s="60">
        <v>1.1733222399999998</v>
      </c>
      <c r="M132" s="61">
        <v>1.1783970915999999</v>
      </c>
      <c r="N132" s="60">
        <v>1.1677828096</v>
      </c>
      <c r="O132" s="61">
        <v>1.1736255556000004</v>
      </c>
      <c r="P132" s="60">
        <v>1.1780931599999998</v>
      </c>
      <c r="Q132" s="36">
        <v>1.175856928</v>
      </c>
      <c r="R132" s="23">
        <v>1.1705492479999999</v>
      </c>
      <c r="S132" s="36">
        <v>1.1734738880000002</v>
      </c>
      <c r="T132" s="23">
        <v>1.1730779456</v>
      </c>
      <c r="U132" s="36">
        <v>1.1760089036000001</v>
      </c>
      <c r="V132" s="23">
        <v>1.1707005376000001</v>
      </c>
      <c r="W132" s="36">
        <v>1.1757052799999999</v>
      </c>
      <c r="X132" s="23">
        <v>1.1782451159999998</v>
      </c>
      <c r="Y132" s="36">
        <v>1.172926656</v>
      </c>
      <c r="Z132" s="23">
        <v>1.1758572360000001</v>
      </c>
      <c r="AA132" s="9">
        <f t="shared" si="18"/>
        <v>1.0839587131008563</v>
      </c>
      <c r="AB132" s="1">
        <f t="shared" si="17"/>
        <v>1.441286899143579E-3</v>
      </c>
      <c r="AC132" s="9">
        <f t="shared" si="19"/>
        <v>1.5370588235295024E-3</v>
      </c>
      <c r="AD132" s="2">
        <f t="shared" si="21"/>
        <v>2.0773079256429131E-6</v>
      </c>
      <c r="AE132" s="45">
        <f t="shared" si="21"/>
        <v>2.3625498269898981E-6</v>
      </c>
      <c r="AF132" s="3">
        <f t="shared" si="22"/>
        <v>1.3278854792183334E-3</v>
      </c>
      <c r="AG132" s="17">
        <f t="shared" si="23"/>
        <v>1.3278854792183334E-3</v>
      </c>
      <c r="AH132" s="5">
        <f t="shared" si="20"/>
        <v>0.13278854792183334</v>
      </c>
    </row>
    <row r="133" spans="2:34" x14ac:dyDescent="0.3">
      <c r="B133" s="40">
        <v>45294</v>
      </c>
      <c r="C133" s="54">
        <v>1.0837000000000001</v>
      </c>
      <c r="D133" s="55">
        <v>1.0804</v>
      </c>
      <c r="E133" s="54">
        <v>1.0844</v>
      </c>
      <c r="F133" s="55">
        <v>1.0797000000000001</v>
      </c>
      <c r="G133" s="58">
        <v>1.0836000000000001</v>
      </c>
      <c r="H133" s="59">
        <v>1.08548</v>
      </c>
      <c r="I133" s="58">
        <v>1.0809399999999998</v>
      </c>
      <c r="J133" s="59">
        <v>1.0829600000000001</v>
      </c>
      <c r="K133" s="54">
        <v>1.0837000000000001</v>
      </c>
      <c r="L133" s="60">
        <v>1.1741889600000002</v>
      </c>
      <c r="M133" s="61">
        <v>1.1782668303999999</v>
      </c>
      <c r="N133" s="60">
        <v>1.1684312835999995</v>
      </c>
      <c r="O133" s="61">
        <v>1.1728023616000003</v>
      </c>
      <c r="P133" s="60">
        <v>1.1744056900000002</v>
      </c>
      <c r="Q133" s="36">
        <v>1.1762261280000001</v>
      </c>
      <c r="R133" s="23">
        <v>1.1713065839999999</v>
      </c>
      <c r="S133" s="36">
        <v>1.1734954560000004</v>
      </c>
      <c r="T133" s="23">
        <v>1.1733387511999998</v>
      </c>
      <c r="U133" s="36">
        <v>1.1755314208000001</v>
      </c>
      <c r="V133" s="23">
        <v>1.1706147823999999</v>
      </c>
      <c r="W133" s="36">
        <v>1.1742973200000002</v>
      </c>
      <c r="X133" s="23">
        <v>1.1763346760000002</v>
      </c>
      <c r="Y133" s="36">
        <v>1.1714146779999999</v>
      </c>
      <c r="Z133" s="23">
        <v>1.1736037520000002</v>
      </c>
      <c r="AA133" s="9">
        <f t="shared" si="18"/>
        <v>1.0822020050551999</v>
      </c>
      <c r="AB133" s="1">
        <f t="shared" si="17"/>
        <v>1.497994944800185E-3</v>
      </c>
      <c r="AC133" s="9">
        <f t="shared" si="19"/>
        <v>-1.6294117647031037E-4</v>
      </c>
      <c r="AD133" s="2">
        <f t="shared" si="21"/>
        <v>2.2439888546469092E-6</v>
      </c>
      <c r="AE133" s="45">
        <f t="shared" si="21"/>
        <v>2.6549826989528824E-8</v>
      </c>
      <c r="AF133" s="3">
        <f t="shared" si="22"/>
        <v>1.3822967101598089E-3</v>
      </c>
      <c r="AG133" s="17">
        <f t="shared" si="23"/>
        <v>1.3822967101598089E-3</v>
      </c>
      <c r="AH133" s="5">
        <f t="shared" si="20"/>
        <v>0.13822967101598088</v>
      </c>
    </row>
    <row r="134" spans="2:34" x14ac:dyDescent="0.3">
      <c r="B134" s="9" t="s">
        <v>131</v>
      </c>
      <c r="C134" s="54">
        <v>1.0803</v>
      </c>
      <c r="D134" s="55">
        <v>1.0835999999999999</v>
      </c>
      <c r="E134" s="54">
        <v>1.0857000000000001</v>
      </c>
      <c r="F134" s="55">
        <v>1.0794999999999999</v>
      </c>
      <c r="G134" s="58">
        <v>1.0831999999999999</v>
      </c>
      <c r="H134" s="59">
        <v>1.08612</v>
      </c>
      <c r="I134" s="58">
        <v>1.08108</v>
      </c>
      <c r="J134" s="59">
        <v>1.0833600000000001</v>
      </c>
      <c r="K134" s="54">
        <v>1.0803</v>
      </c>
      <c r="L134" s="60">
        <v>1.1733222399999998</v>
      </c>
      <c r="M134" s="61">
        <v>1.1796566544</v>
      </c>
      <c r="N134" s="60">
        <v>1.1687339664</v>
      </c>
      <c r="O134" s="61">
        <v>1.1736688896000003</v>
      </c>
      <c r="P134" s="60">
        <v>1.16704809</v>
      </c>
      <c r="Q134" s="36">
        <v>1.1764851839999999</v>
      </c>
      <c r="R134" s="23">
        <v>1.171025856</v>
      </c>
      <c r="S134" s="36">
        <v>1.1734955520000001</v>
      </c>
      <c r="T134" s="23">
        <v>1.1741826096000001</v>
      </c>
      <c r="U134" s="36">
        <v>1.1766589632000002</v>
      </c>
      <c r="V134" s="23">
        <v>1.1711988288000001</v>
      </c>
      <c r="W134" s="36">
        <v>1.1701809599999999</v>
      </c>
      <c r="X134" s="23">
        <v>1.1733354360000001</v>
      </c>
      <c r="Y134" s="36">
        <v>1.167890724</v>
      </c>
      <c r="Z134" s="23">
        <v>1.1703538080000002</v>
      </c>
      <c r="AA134" s="9">
        <f t="shared" si="18"/>
        <v>1.0844156419784283</v>
      </c>
      <c r="AB134" s="1">
        <f t="shared" si="17"/>
        <v>-4.1156419784282861E-3</v>
      </c>
      <c r="AC134" s="9">
        <f t="shared" si="19"/>
        <v>-3.56294117647038E-3</v>
      </c>
      <c r="AD134" s="2">
        <f t="shared" si="21"/>
        <v>1.6938508894601097E-5</v>
      </c>
      <c r="AE134" s="45">
        <f t="shared" si="21"/>
        <v>1.2694549826988135E-5</v>
      </c>
      <c r="AF134" s="3">
        <f t="shared" si="22"/>
        <v>-3.8097213537242303E-3</v>
      </c>
      <c r="AG134" s="17">
        <f t="shared" si="23"/>
        <v>3.8097213537242303E-3</v>
      </c>
      <c r="AH134" s="5">
        <f t="shared" si="20"/>
        <v>0.38097213537242303</v>
      </c>
    </row>
    <row r="135" spans="2:34" x14ac:dyDescent="0.3">
      <c r="B135" s="9" t="s">
        <v>132</v>
      </c>
      <c r="C135" s="54">
        <v>1.0835999999999999</v>
      </c>
      <c r="D135" s="55">
        <v>1.0844</v>
      </c>
      <c r="E135" s="54">
        <v>1.0848</v>
      </c>
      <c r="F135" s="55">
        <v>1.0795999999999999</v>
      </c>
      <c r="G135" s="58">
        <v>1.08246</v>
      </c>
      <c r="H135" s="59">
        <v>1.0856600000000001</v>
      </c>
      <c r="I135" s="58">
        <v>1.0809599999999997</v>
      </c>
      <c r="J135" s="59">
        <v>1.0829800000000003</v>
      </c>
      <c r="K135" s="54">
        <v>1.0835999999999999</v>
      </c>
      <c r="L135" s="60">
        <v>1.1717196515999999</v>
      </c>
      <c r="M135" s="61">
        <v>1.1786576356000003</v>
      </c>
      <c r="N135" s="60">
        <v>1.1684745215999994</v>
      </c>
      <c r="O135" s="61">
        <v>1.1728456804000007</v>
      </c>
      <c r="P135" s="60">
        <v>1.1741889599999997</v>
      </c>
      <c r="Q135" s="36">
        <v>1.1751835236000001</v>
      </c>
      <c r="R135" s="23">
        <v>1.1700959615999997</v>
      </c>
      <c r="S135" s="36">
        <v>1.1722825308000002</v>
      </c>
      <c r="T135" s="23">
        <v>1.1735550335999998</v>
      </c>
      <c r="U135" s="36">
        <v>1.1757480668000004</v>
      </c>
      <c r="V135" s="23">
        <v>1.1706580607999999</v>
      </c>
      <c r="W135" s="36">
        <v>1.1729536559999998</v>
      </c>
      <c r="X135" s="23">
        <v>1.1764211760000001</v>
      </c>
      <c r="Y135" s="36">
        <v>1.1713282559999996</v>
      </c>
      <c r="Z135" s="23">
        <v>1.1735171280000001</v>
      </c>
      <c r="AA135" s="9">
        <f t="shared" si="18"/>
        <v>1.0850848493732466</v>
      </c>
      <c r="AB135" s="1">
        <f t="shared" si="17"/>
        <v>-1.4848493732466661E-3</v>
      </c>
      <c r="AC135" s="9">
        <f t="shared" si="19"/>
        <v>-2.629411764705214E-4</v>
      </c>
      <c r="AD135" s="2">
        <f t="shared" si="21"/>
        <v>2.204777661231017E-6</v>
      </c>
      <c r="AE135" s="45">
        <f t="shared" si="21"/>
        <v>6.9138062283701874E-8</v>
      </c>
      <c r="AF135" s="3">
        <f t="shared" si="22"/>
        <v>-1.3702928878245352E-3</v>
      </c>
      <c r="AG135" s="17">
        <f t="shared" si="23"/>
        <v>1.3702928878245352E-3</v>
      </c>
      <c r="AH135" s="5">
        <f t="shared" si="20"/>
        <v>0.13702928878245352</v>
      </c>
    </row>
    <row r="136" spans="2:34" x14ac:dyDescent="0.3">
      <c r="B136" s="9" t="s">
        <v>133</v>
      </c>
      <c r="C136" s="54">
        <v>1.0844</v>
      </c>
      <c r="D136" s="55">
        <v>1.085</v>
      </c>
      <c r="E136" s="54">
        <v>1.0867</v>
      </c>
      <c r="F136" s="55">
        <v>1.0831999999999999</v>
      </c>
      <c r="G136" s="58">
        <v>1.0810400000000002</v>
      </c>
      <c r="H136" s="59">
        <v>1.0851199999999999</v>
      </c>
      <c r="I136" s="58">
        <v>1.0795400000000002</v>
      </c>
      <c r="J136" s="59">
        <v>1.0821600000000002</v>
      </c>
      <c r="K136" s="54">
        <v>1.0844</v>
      </c>
      <c r="L136" s="60">
        <v>1.1686474816000005</v>
      </c>
      <c r="M136" s="61">
        <v>1.1774854143999998</v>
      </c>
      <c r="N136" s="60">
        <v>1.1654066116000004</v>
      </c>
      <c r="O136" s="61">
        <v>1.1710702656000005</v>
      </c>
      <c r="P136" s="60">
        <v>1.1759233600000001</v>
      </c>
      <c r="Q136" s="36">
        <v>1.1730581248</v>
      </c>
      <c r="R136" s="23">
        <v>1.1670259216000005</v>
      </c>
      <c r="S136" s="36">
        <v>1.1698582464000005</v>
      </c>
      <c r="T136" s="23">
        <v>1.1714304448000001</v>
      </c>
      <c r="U136" s="36">
        <v>1.1742734592000001</v>
      </c>
      <c r="V136" s="23">
        <v>1.1682350064000004</v>
      </c>
      <c r="W136" s="36">
        <v>1.1722797760000003</v>
      </c>
      <c r="X136" s="23">
        <v>1.1767041279999999</v>
      </c>
      <c r="Y136" s="36">
        <v>1.1706531760000003</v>
      </c>
      <c r="Z136" s="23">
        <v>1.1734943040000003</v>
      </c>
      <c r="AA136" s="9">
        <f t="shared" si="18"/>
        <v>1.0855167290398469</v>
      </c>
      <c r="AB136" s="1">
        <f t="shared" si="17"/>
        <v>-1.116729039846831E-3</v>
      </c>
      <c r="AC136" s="9">
        <f t="shared" si="19"/>
        <v>5.3705882352961254E-4</v>
      </c>
      <c r="AD136" s="2">
        <f t="shared" si="21"/>
        <v>1.2470837484372251E-6</v>
      </c>
      <c r="AE136" s="45">
        <f t="shared" si="21"/>
        <v>2.8843217993101151E-7</v>
      </c>
      <c r="AF136" s="3">
        <f t="shared" si="22"/>
        <v>-1.0298128364504158E-3</v>
      </c>
      <c r="AG136" s="17">
        <f t="shared" si="23"/>
        <v>1.0298128364504158E-3</v>
      </c>
      <c r="AH136" s="5">
        <f t="shared" si="20"/>
        <v>0.10298128364504158</v>
      </c>
    </row>
    <row r="137" spans="2:34" x14ac:dyDescent="0.3">
      <c r="B137" s="9" t="s">
        <v>134</v>
      </c>
      <c r="C137" s="54">
        <v>1.0847</v>
      </c>
      <c r="D137" s="55">
        <v>1.0826</v>
      </c>
      <c r="E137" s="54">
        <v>1.0861000000000001</v>
      </c>
      <c r="F137" s="55">
        <v>1.0811999999999999</v>
      </c>
      <c r="G137" s="58">
        <v>1.0800399999999999</v>
      </c>
      <c r="H137" s="59">
        <v>1.0836999999999999</v>
      </c>
      <c r="I137" s="58">
        <v>1.0785200000000001</v>
      </c>
      <c r="J137" s="59">
        <v>1.0807600000000002</v>
      </c>
      <c r="K137" s="54">
        <v>1.0847</v>
      </c>
      <c r="L137" s="60">
        <v>1.1664864015999998</v>
      </c>
      <c r="M137" s="61">
        <v>1.1744056899999997</v>
      </c>
      <c r="N137" s="60">
        <v>1.1632053904000004</v>
      </c>
      <c r="O137" s="61">
        <v>1.1680421776000003</v>
      </c>
      <c r="P137" s="60">
        <v>1.1765740899999999</v>
      </c>
      <c r="Q137" s="36">
        <v>1.1704393479999997</v>
      </c>
      <c r="R137" s="23">
        <v>1.1648447408</v>
      </c>
      <c r="S137" s="36">
        <v>1.1672640304000002</v>
      </c>
      <c r="T137" s="23">
        <v>1.1687921240000001</v>
      </c>
      <c r="U137" s="36">
        <v>1.171219612</v>
      </c>
      <c r="V137" s="23">
        <v>1.1656212752000004</v>
      </c>
      <c r="W137" s="36">
        <v>1.1715193879999999</v>
      </c>
      <c r="X137" s="23">
        <v>1.1754893899999999</v>
      </c>
      <c r="Y137" s="36">
        <v>1.1698706440000002</v>
      </c>
      <c r="Z137" s="23">
        <v>1.1723003720000003</v>
      </c>
      <c r="AA137" s="9">
        <f t="shared" si="18"/>
        <v>1.0835008406825595</v>
      </c>
      <c r="AB137" s="1">
        <f t="shared" si="17"/>
        <v>1.1991593174405235E-3</v>
      </c>
      <c r="AC137" s="9">
        <f t="shared" si="19"/>
        <v>8.370588235295795E-4</v>
      </c>
      <c r="AD137" s="2">
        <f t="shared" si="21"/>
        <v>1.4379830686044222E-6</v>
      </c>
      <c r="AE137" s="45">
        <f t="shared" si="21"/>
        <v>7.0066747404872375E-7</v>
      </c>
      <c r="AF137" s="3">
        <f t="shared" si="22"/>
        <v>1.1055216349594576E-3</v>
      </c>
      <c r="AG137" s="17">
        <f t="shared" si="23"/>
        <v>1.1055216349594576E-3</v>
      </c>
      <c r="AH137" s="5">
        <f t="shared" si="20"/>
        <v>0.11055216349594575</v>
      </c>
    </row>
    <row r="138" spans="2:34" x14ac:dyDescent="0.3">
      <c r="B138" s="9" t="s">
        <v>135</v>
      </c>
      <c r="C138" s="54">
        <v>1.0818000000000001</v>
      </c>
      <c r="D138" s="55">
        <v>1.0824</v>
      </c>
      <c r="E138" s="54">
        <v>1.0841000000000001</v>
      </c>
      <c r="F138" s="55">
        <v>1.0811999999999999</v>
      </c>
      <c r="G138" s="58">
        <v>1.0789599999999999</v>
      </c>
      <c r="H138" s="59">
        <v>1.08264</v>
      </c>
      <c r="I138" s="58">
        <v>1.0769200000000001</v>
      </c>
      <c r="J138" s="59">
        <v>1.07988</v>
      </c>
      <c r="K138" s="54">
        <v>1.0818000000000001</v>
      </c>
      <c r="L138" s="60">
        <v>1.1641546815999999</v>
      </c>
      <c r="M138" s="61">
        <v>1.1721093696</v>
      </c>
      <c r="N138" s="60">
        <v>1.1597566864000002</v>
      </c>
      <c r="O138" s="61">
        <v>1.1661408143999998</v>
      </c>
      <c r="P138" s="60">
        <v>1.1702912400000003</v>
      </c>
      <c r="Q138" s="36">
        <v>1.1681252544</v>
      </c>
      <c r="R138" s="23">
        <v>1.1619536032</v>
      </c>
      <c r="S138" s="36">
        <v>1.1651473247999999</v>
      </c>
      <c r="T138" s="23">
        <v>1.1659166688000002</v>
      </c>
      <c r="U138" s="36">
        <v>1.1691212832</v>
      </c>
      <c r="V138" s="23">
        <v>1.1629443696000001</v>
      </c>
      <c r="W138" s="36">
        <v>1.167218928</v>
      </c>
      <c r="X138" s="23">
        <v>1.171199952</v>
      </c>
      <c r="Y138" s="36">
        <v>1.1650120560000001</v>
      </c>
      <c r="Z138" s="23">
        <v>1.168214184</v>
      </c>
      <c r="AA138" s="9">
        <f t="shared" si="18"/>
        <v>1.0827183940482688</v>
      </c>
      <c r="AB138" s="1">
        <f t="shared" si="17"/>
        <v>-9.1839404826865589E-4</v>
      </c>
      <c r="AC138" s="9">
        <f t="shared" si="19"/>
        <v>-2.0629411764703232E-3</v>
      </c>
      <c r="AD138" s="2">
        <f t="shared" si="21"/>
        <v>8.4344762789529023E-7</v>
      </c>
      <c r="AE138" s="45">
        <f t="shared" si="21"/>
        <v>4.2557262975767606E-6</v>
      </c>
      <c r="AF138" s="3">
        <f t="shared" si="22"/>
        <v>-8.4894994293645385E-4</v>
      </c>
      <c r="AG138" s="17">
        <f t="shared" si="23"/>
        <v>8.4894994293645385E-4</v>
      </c>
      <c r="AH138" s="5">
        <f t="shared" si="20"/>
        <v>8.4894994293645387E-2</v>
      </c>
    </row>
    <row r="139" spans="2:34" x14ac:dyDescent="0.3">
      <c r="B139" s="9" t="s">
        <v>136</v>
      </c>
      <c r="C139" s="54">
        <v>1.0823</v>
      </c>
      <c r="D139" s="55">
        <v>1.0815999999999999</v>
      </c>
      <c r="E139" s="54">
        <v>1.0889</v>
      </c>
      <c r="F139" s="55">
        <v>1.0802</v>
      </c>
      <c r="G139" s="58">
        <v>1.07718</v>
      </c>
      <c r="H139" s="59">
        <v>1.08056</v>
      </c>
      <c r="I139" s="58">
        <v>1.07538</v>
      </c>
      <c r="J139" s="59">
        <v>1.07884</v>
      </c>
      <c r="K139" s="54">
        <v>1.0823</v>
      </c>
      <c r="L139" s="60">
        <v>1.1603167524</v>
      </c>
      <c r="M139" s="61">
        <v>1.1676099136</v>
      </c>
      <c r="N139" s="60">
        <v>1.1564421443999999</v>
      </c>
      <c r="O139" s="61">
        <v>1.1638957456000001</v>
      </c>
      <c r="P139" s="60">
        <v>1.17137329</v>
      </c>
      <c r="Q139" s="36">
        <v>1.1639576208</v>
      </c>
      <c r="R139" s="23">
        <v>1.1583778283999999</v>
      </c>
      <c r="S139" s="36">
        <v>1.1621048711999999</v>
      </c>
      <c r="T139" s="23">
        <v>1.1620126127999999</v>
      </c>
      <c r="U139" s="36">
        <v>1.1657513503999999</v>
      </c>
      <c r="V139" s="23">
        <v>1.1601629592</v>
      </c>
      <c r="W139" s="36">
        <v>1.165831914</v>
      </c>
      <c r="X139" s="23">
        <v>1.1694900880000001</v>
      </c>
      <c r="Y139" s="36">
        <v>1.1638837740000001</v>
      </c>
      <c r="Z139" s="23">
        <v>1.1676285320000002</v>
      </c>
      <c r="AA139" s="9">
        <f t="shared" si="18"/>
        <v>1.0830244431437639</v>
      </c>
      <c r="AB139" s="1">
        <f t="shared" si="17"/>
        <v>-7.2444314376385321E-4</v>
      </c>
      <c r="AC139" s="9">
        <f t="shared" si="19"/>
        <v>-1.5629411764703782E-3</v>
      </c>
      <c r="AD139" s="2">
        <f t="shared" si="21"/>
        <v>5.2481786854645489E-7</v>
      </c>
      <c r="AE139" s="45">
        <f t="shared" si="21"/>
        <v>2.44278512110661E-6</v>
      </c>
      <c r="AF139" s="3">
        <f t="shared" si="22"/>
        <v>-6.6935520998230916E-4</v>
      </c>
      <c r="AG139" s="17">
        <f t="shared" si="23"/>
        <v>6.6935520998230916E-4</v>
      </c>
      <c r="AH139" s="5">
        <f t="shared" si="20"/>
        <v>6.6935520998230913E-2</v>
      </c>
    </row>
    <row r="140" spans="2:34" x14ac:dyDescent="0.3">
      <c r="B140" s="9" t="s">
        <v>137</v>
      </c>
      <c r="C140" s="54">
        <v>1.0817000000000001</v>
      </c>
      <c r="D140" s="55">
        <v>1.0807</v>
      </c>
      <c r="E140" s="54">
        <v>1.0825</v>
      </c>
      <c r="F140" s="55">
        <v>1.079</v>
      </c>
      <c r="G140" s="58">
        <v>1.07524</v>
      </c>
      <c r="H140" s="59">
        <v>1.0787600000000002</v>
      </c>
      <c r="I140" s="58">
        <v>1.07348</v>
      </c>
      <c r="J140" s="59">
        <v>1.077</v>
      </c>
      <c r="K140" s="54">
        <v>1.0817000000000001</v>
      </c>
      <c r="L140" s="60">
        <v>1.1561410576</v>
      </c>
      <c r="M140" s="61">
        <v>1.1637231376000003</v>
      </c>
      <c r="N140" s="60">
        <v>1.1523593104000001</v>
      </c>
      <c r="O140" s="61">
        <v>1.159929</v>
      </c>
      <c r="P140" s="60">
        <v>1.1700748900000002</v>
      </c>
      <c r="Q140" s="36">
        <v>1.1599259024000002</v>
      </c>
      <c r="R140" s="23">
        <v>1.1542486351999999</v>
      </c>
      <c r="S140" s="36">
        <v>1.1580334799999998</v>
      </c>
      <c r="T140" s="23">
        <v>1.1580272848000002</v>
      </c>
      <c r="U140" s="36">
        <v>1.1618245200000001</v>
      </c>
      <c r="V140" s="23">
        <v>1.1561379599999999</v>
      </c>
      <c r="W140" s="36">
        <v>1.163087108</v>
      </c>
      <c r="X140" s="23">
        <v>1.1668946920000003</v>
      </c>
      <c r="Y140" s="36">
        <v>1.161183316</v>
      </c>
      <c r="Z140" s="23">
        <v>1.1649909000000001</v>
      </c>
      <c r="AA140" s="9">
        <f t="shared" si="18"/>
        <v>1.0815809317539231</v>
      </c>
      <c r="AB140" s="1">
        <f t="shared" si="17"/>
        <v>1.1906824607699207E-4</v>
      </c>
      <c r="AC140" s="9">
        <f t="shared" si="19"/>
        <v>-2.1629411764703121E-3</v>
      </c>
      <c r="AD140" s="2">
        <f t="shared" si="21"/>
        <v>1.4177247223851137E-8</v>
      </c>
      <c r="AE140" s="45">
        <f t="shared" si="21"/>
        <v>4.6783145328707782E-6</v>
      </c>
      <c r="AF140" s="3">
        <f t="shared" si="22"/>
        <v>1.1007510962095965E-4</v>
      </c>
      <c r="AG140" s="17">
        <f t="shared" si="23"/>
        <v>1.1007510962095965E-4</v>
      </c>
      <c r="AH140" s="5">
        <f t="shared" si="20"/>
        <v>1.1007510962095965E-2</v>
      </c>
    </row>
    <row r="141" spans="2:34" x14ac:dyDescent="0.3">
      <c r="B141" s="9" t="s">
        <v>138</v>
      </c>
      <c r="C141" s="54">
        <v>1.0803</v>
      </c>
      <c r="D141" s="55">
        <v>1.0779000000000001</v>
      </c>
      <c r="E141" s="54">
        <v>1.0840000000000001</v>
      </c>
      <c r="F141" s="55">
        <v>1.0761000000000001</v>
      </c>
      <c r="G141" s="58">
        <v>1.0750999999999997</v>
      </c>
      <c r="H141" s="59">
        <v>1.0778799999999999</v>
      </c>
      <c r="I141" s="58">
        <v>1.07226</v>
      </c>
      <c r="J141" s="59">
        <v>1.0751199999999999</v>
      </c>
      <c r="K141" s="54">
        <v>1.0803</v>
      </c>
      <c r="L141" s="60">
        <v>1.1558400099999995</v>
      </c>
      <c r="M141" s="61">
        <v>1.1618252943999998</v>
      </c>
      <c r="N141" s="60">
        <v>1.1497415075999999</v>
      </c>
      <c r="O141" s="61">
        <v>1.1558830143999996</v>
      </c>
      <c r="P141" s="60">
        <v>1.16704809</v>
      </c>
      <c r="Q141" s="36">
        <v>1.1588287879999997</v>
      </c>
      <c r="R141" s="23">
        <v>1.1527867259999998</v>
      </c>
      <c r="S141" s="36">
        <v>1.1558615119999995</v>
      </c>
      <c r="T141" s="23">
        <v>1.1557676088</v>
      </c>
      <c r="U141" s="36">
        <v>1.1588503455999999</v>
      </c>
      <c r="V141" s="23">
        <v>1.1528081711999998</v>
      </c>
      <c r="W141" s="36">
        <v>1.1614305299999998</v>
      </c>
      <c r="X141" s="23">
        <v>1.164433764</v>
      </c>
      <c r="Y141" s="36">
        <v>1.1583624780000001</v>
      </c>
      <c r="Z141" s="23">
        <v>1.1614521359999999</v>
      </c>
      <c r="AA141" s="9">
        <f t="shared" si="18"/>
        <v>1.0762890694358969</v>
      </c>
      <c r="AB141" s="1">
        <f t="shared" si="17"/>
        <v>4.0109305641031767E-3</v>
      </c>
      <c r="AC141" s="9">
        <f t="shared" si="19"/>
        <v>-3.56294117647038E-3</v>
      </c>
      <c r="AD141" s="2">
        <f t="shared" si="21"/>
        <v>1.6087563990057029E-5</v>
      </c>
      <c r="AE141" s="45">
        <f t="shared" si="21"/>
        <v>1.2694549826988135E-5</v>
      </c>
      <c r="AF141" s="3">
        <f t="shared" si="22"/>
        <v>3.71279326492935E-3</v>
      </c>
      <c r="AG141" s="17">
        <f t="shared" si="23"/>
        <v>3.71279326492935E-3</v>
      </c>
      <c r="AH141" s="5">
        <f t="shared" si="20"/>
        <v>0.37127932649293499</v>
      </c>
    </row>
    <row r="142" spans="2:34" x14ac:dyDescent="0.3">
      <c r="B142" s="9" t="s">
        <v>139</v>
      </c>
      <c r="C142" s="54">
        <v>1.0777000000000001</v>
      </c>
      <c r="D142" s="55">
        <v>1.0775999999999999</v>
      </c>
      <c r="E142" s="54">
        <v>1.079</v>
      </c>
      <c r="F142" s="55">
        <v>1.0761000000000001</v>
      </c>
      <c r="G142" s="58">
        <v>1.0752000000000002</v>
      </c>
      <c r="H142" s="59">
        <v>1.0782</v>
      </c>
      <c r="I142" s="58">
        <v>1.0721399999999999</v>
      </c>
      <c r="J142" s="59">
        <v>1.0749999999999997</v>
      </c>
      <c r="K142" s="54">
        <v>1.0777000000000001</v>
      </c>
      <c r="L142" s="60">
        <v>1.1560550400000003</v>
      </c>
      <c r="M142" s="61">
        <v>1.1625152400000001</v>
      </c>
      <c r="N142" s="60">
        <v>1.1494841795999997</v>
      </c>
      <c r="O142" s="61">
        <v>1.1556249999999995</v>
      </c>
      <c r="P142" s="60">
        <v>1.1614372900000003</v>
      </c>
      <c r="Q142" s="36">
        <v>1.1592806400000002</v>
      </c>
      <c r="R142" s="23">
        <v>1.1527649280000001</v>
      </c>
      <c r="S142" s="36">
        <v>1.15584</v>
      </c>
      <c r="T142" s="23">
        <v>1.1559813479999999</v>
      </c>
      <c r="U142" s="36">
        <v>1.1590649999999998</v>
      </c>
      <c r="V142" s="23">
        <v>1.1525504999999996</v>
      </c>
      <c r="W142" s="36">
        <v>1.1587430400000003</v>
      </c>
      <c r="X142" s="23">
        <v>1.1619761400000002</v>
      </c>
      <c r="Y142" s="36">
        <v>1.155445278</v>
      </c>
      <c r="Z142" s="23">
        <v>1.1585274999999999</v>
      </c>
      <c r="AA142" s="9">
        <f t="shared" si="18"/>
        <v>1.0757542661396626</v>
      </c>
      <c r="AB142" s="1">
        <f t="shared" si="17"/>
        <v>1.945733860337473E-3</v>
      </c>
      <c r="AC142" s="9">
        <f t="shared" si="19"/>
        <v>-6.1629411764703157E-3</v>
      </c>
      <c r="AD142" s="2">
        <f t="shared" si="21"/>
        <v>3.7858802552637649E-6</v>
      </c>
      <c r="AE142" s="45">
        <f t="shared" si="21"/>
        <v>3.7981843944633322E-5</v>
      </c>
      <c r="AF142" s="3">
        <f t="shared" si="22"/>
        <v>1.8054503668344371E-3</v>
      </c>
      <c r="AG142" s="17">
        <f t="shared" si="23"/>
        <v>1.8054503668344371E-3</v>
      </c>
      <c r="AH142" s="5">
        <f t="shared" si="20"/>
        <v>0.18054503668344371</v>
      </c>
    </row>
    <row r="143" spans="2:34" x14ac:dyDescent="0.3">
      <c r="B143" s="9" t="s">
        <v>140</v>
      </c>
      <c r="C143" s="54">
        <v>1.0773999999999999</v>
      </c>
      <c r="D143" s="55">
        <v>1.077</v>
      </c>
      <c r="E143" s="54">
        <v>1.0788</v>
      </c>
      <c r="F143" s="55">
        <v>1.0731999999999999</v>
      </c>
      <c r="G143" s="58">
        <v>1.0753799999999998</v>
      </c>
      <c r="H143" s="59">
        <v>1.0783600000000002</v>
      </c>
      <c r="I143" s="58">
        <v>1.0727199999999999</v>
      </c>
      <c r="J143" s="59">
        <v>1.0751599999999999</v>
      </c>
      <c r="K143" s="54">
        <v>1.0773999999999999</v>
      </c>
      <c r="L143" s="60">
        <v>1.1564421443999995</v>
      </c>
      <c r="M143" s="61">
        <v>1.1628602896000004</v>
      </c>
      <c r="N143" s="60">
        <v>1.1507281983999997</v>
      </c>
      <c r="O143" s="61">
        <v>1.1559690255999997</v>
      </c>
      <c r="P143" s="60">
        <v>1.1607907599999998</v>
      </c>
      <c r="Q143" s="36">
        <v>1.1596467768000001</v>
      </c>
      <c r="R143" s="23">
        <v>1.1535816335999995</v>
      </c>
      <c r="S143" s="36">
        <v>1.1562055607999997</v>
      </c>
      <c r="T143" s="23">
        <v>1.1567783392000002</v>
      </c>
      <c r="U143" s="36">
        <v>1.1594095376000002</v>
      </c>
      <c r="V143" s="23">
        <v>1.1533456351999998</v>
      </c>
      <c r="W143" s="36">
        <v>1.1586144119999997</v>
      </c>
      <c r="X143" s="23">
        <v>1.1618250640000001</v>
      </c>
      <c r="Y143" s="36">
        <v>1.1557485279999997</v>
      </c>
      <c r="Z143" s="23">
        <v>1.1583773839999998</v>
      </c>
      <c r="AA143" s="9">
        <f t="shared" si="18"/>
        <v>1.0761010429175268</v>
      </c>
      <c r="AB143" s="1">
        <f t="shared" si="17"/>
        <v>1.2989570824730734E-3</v>
      </c>
      <c r="AC143" s="9">
        <f t="shared" si="19"/>
        <v>-6.4629411764705047E-3</v>
      </c>
      <c r="AD143" s="2">
        <f t="shared" si="21"/>
        <v>1.6872895021069588E-6</v>
      </c>
      <c r="AE143" s="45">
        <f t="shared" si="21"/>
        <v>4.1769608650517952E-5</v>
      </c>
      <c r="AF143" s="3">
        <f t="shared" si="22"/>
        <v>1.205640507214659E-3</v>
      </c>
      <c r="AG143" s="17">
        <f t="shared" si="23"/>
        <v>1.205640507214659E-3</v>
      </c>
      <c r="AH143" s="5">
        <f t="shared" si="20"/>
        <v>0.12056405072146589</v>
      </c>
    </row>
    <row r="144" spans="2:34" x14ac:dyDescent="0.3">
      <c r="B144" s="9" t="s">
        <v>141</v>
      </c>
      <c r="C144" s="54">
        <v>1.0770999999999999</v>
      </c>
      <c r="D144" s="55">
        <v>1.0727</v>
      </c>
      <c r="E144" s="54">
        <v>1.0785</v>
      </c>
      <c r="F144" s="55">
        <v>1.0725</v>
      </c>
      <c r="G144" s="58">
        <v>1.0762799999999999</v>
      </c>
      <c r="H144" s="59">
        <v>1.07846</v>
      </c>
      <c r="I144" s="58">
        <v>1.07304</v>
      </c>
      <c r="J144" s="59">
        <v>1.0752599999999997</v>
      </c>
      <c r="K144" s="54">
        <v>1.0770999999999999</v>
      </c>
      <c r="L144" s="60">
        <v>1.1583786383999999</v>
      </c>
      <c r="M144" s="61">
        <v>1.1630759715999999</v>
      </c>
      <c r="N144" s="60">
        <v>1.1514148416000001</v>
      </c>
      <c r="O144" s="61">
        <v>1.1561840675999993</v>
      </c>
      <c r="P144" s="60">
        <v>1.1601444099999998</v>
      </c>
      <c r="Q144" s="36">
        <v>1.1607249287999999</v>
      </c>
      <c r="R144" s="23">
        <v>1.1548914911999999</v>
      </c>
      <c r="S144" s="36">
        <v>1.1572808327999995</v>
      </c>
      <c r="T144" s="23">
        <v>1.1572307183999999</v>
      </c>
      <c r="U144" s="36">
        <v>1.1596248995999996</v>
      </c>
      <c r="V144" s="23">
        <v>1.1537969903999996</v>
      </c>
      <c r="W144" s="36">
        <v>1.1592611879999999</v>
      </c>
      <c r="X144" s="23">
        <v>1.1616092659999999</v>
      </c>
      <c r="Y144" s="36">
        <v>1.1557713839999999</v>
      </c>
      <c r="Z144" s="23">
        <v>1.1581625459999996</v>
      </c>
      <c r="AA144" s="9">
        <f t="shared" si="18"/>
        <v>1.0743745157644953</v>
      </c>
      <c r="AB144" s="1">
        <f t="shared" si="17"/>
        <v>2.7254842355046716E-3</v>
      </c>
      <c r="AC144" s="9">
        <f t="shared" si="19"/>
        <v>-6.7629411764704717E-3</v>
      </c>
      <c r="AD144" s="2">
        <f t="shared" si="21"/>
        <v>7.4282643179844841E-6</v>
      </c>
      <c r="AE144" s="45">
        <f t="shared" si="21"/>
        <v>4.5737373356399805E-5</v>
      </c>
      <c r="AF144" s="3">
        <f t="shared" si="22"/>
        <v>2.5303910830049873E-3</v>
      </c>
      <c r="AG144" s="17">
        <f t="shared" si="23"/>
        <v>2.5303910830049873E-3</v>
      </c>
      <c r="AH144" s="5">
        <f t="shared" si="20"/>
        <v>0.25303910830049875</v>
      </c>
    </row>
    <row r="145" spans="2:34" x14ac:dyDescent="0.3">
      <c r="B145" s="9" t="s">
        <v>142</v>
      </c>
      <c r="C145" s="54">
        <v>1.0725</v>
      </c>
      <c r="D145" s="55">
        <v>1.071</v>
      </c>
      <c r="E145" s="54">
        <v>1.0734999999999999</v>
      </c>
      <c r="F145" s="55">
        <v>1.0694999999999999</v>
      </c>
      <c r="G145" s="58">
        <v>1.0771799999999998</v>
      </c>
      <c r="H145" s="59">
        <v>1.07944</v>
      </c>
      <c r="I145" s="58">
        <v>1.0742</v>
      </c>
      <c r="J145" s="59">
        <v>1.0761799999999997</v>
      </c>
      <c r="K145" s="54">
        <v>1.0725</v>
      </c>
      <c r="L145" s="60">
        <v>1.1603167523999995</v>
      </c>
      <c r="M145" s="61">
        <v>1.1651907135999999</v>
      </c>
      <c r="N145" s="60">
        <v>1.1539056400000001</v>
      </c>
      <c r="O145" s="61">
        <v>1.1581633923999994</v>
      </c>
      <c r="P145" s="60">
        <v>1.15025625</v>
      </c>
      <c r="Q145" s="36">
        <v>1.1627511791999998</v>
      </c>
      <c r="R145" s="23">
        <v>1.1571067559999999</v>
      </c>
      <c r="S145" s="36">
        <v>1.1592395723999995</v>
      </c>
      <c r="T145" s="23">
        <v>1.1595344480000001</v>
      </c>
      <c r="U145" s="36">
        <v>1.1616717391999996</v>
      </c>
      <c r="V145" s="23">
        <v>1.1560325559999998</v>
      </c>
      <c r="W145" s="36">
        <v>1.1552755499999998</v>
      </c>
      <c r="X145" s="23">
        <v>1.1576994</v>
      </c>
      <c r="Y145" s="36">
        <v>1.1520795000000001</v>
      </c>
      <c r="Z145" s="23">
        <v>1.1542030499999998</v>
      </c>
      <c r="AA145" s="9">
        <f t="shared" si="18"/>
        <v>1.0754121425411354</v>
      </c>
      <c r="AB145" s="1">
        <f t="shared" si="17"/>
        <v>-2.9121425411353652E-3</v>
      </c>
      <c r="AC145" s="9">
        <f t="shared" si="19"/>
        <v>-1.1362941176470409E-2</v>
      </c>
      <c r="AD145" s="2">
        <f t="shared" si="21"/>
        <v>8.4805741798903419E-6</v>
      </c>
      <c r="AE145" s="45">
        <f t="shared" si="21"/>
        <v>1.2911643217992672E-4</v>
      </c>
      <c r="AF145" s="3">
        <f t="shared" si="22"/>
        <v>-2.715284420639035E-3</v>
      </c>
      <c r="AG145" s="17">
        <f t="shared" si="23"/>
        <v>2.715284420639035E-3</v>
      </c>
      <c r="AH145" s="5">
        <f t="shared" si="20"/>
        <v>0.27152844206390347</v>
      </c>
    </row>
    <row r="146" spans="2:34" x14ac:dyDescent="0.3">
      <c r="B146" s="9" t="s">
        <v>143</v>
      </c>
      <c r="C146" s="54">
        <v>1.0709</v>
      </c>
      <c r="D146" s="55">
        <v>1.0771999999999999</v>
      </c>
      <c r="E146" s="54">
        <v>1.0795999999999999</v>
      </c>
      <c r="F146" s="55">
        <v>1.07</v>
      </c>
      <c r="G146" s="58">
        <v>1.0766</v>
      </c>
      <c r="H146" s="59">
        <v>1.0787799999999999</v>
      </c>
      <c r="I146" s="58">
        <v>1.0746600000000002</v>
      </c>
      <c r="J146" s="59">
        <v>1.07708</v>
      </c>
      <c r="K146" s="54">
        <v>1.0709</v>
      </c>
      <c r="L146" s="60">
        <v>1.15906756</v>
      </c>
      <c r="M146" s="61">
        <v>1.1637662883999997</v>
      </c>
      <c r="N146" s="60">
        <v>1.1548941156000003</v>
      </c>
      <c r="O146" s="61">
        <v>1.1601013264000002</v>
      </c>
      <c r="P146" s="60">
        <v>1.1468268099999999</v>
      </c>
      <c r="Q146" s="36">
        <v>1.1614145479999998</v>
      </c>
      <c r="R146" s="23">
        <v>1.1569789560000001</v>
      </c>
      <c r="S146" s="36">
        <v>1.159584328</v>
      </c>
      <c r="T146" s="23">
        <v>1.1593217148000001</v>
      </c>
      <c r="U146" s="36">
        <v>1.1619323624</v>
      </c>
      <c r="V146" s="23">
        <v>1.1574947928000001</v>
      </c>
      <c r="W146" s="36">
        <v>1.1529309400000001</v>
      </c>
      <c r="X146" s="23">
        <v>1.1552655019999998</v>
      </c>
      <c r="Y146" s="36">
        <v>1.1508533940000001</v>
      </c>
      <c r="Z146" s="23">
        <v>1.153444972</v>
      </c>
      <c r="AA146" s="9">
        <f t="shared" si="18"/>
        <v>1.0791784471419119</v>
      </c>
      <c r="AB146" s="1">
        <f t="shared" si="17"/>
        <v>-8.2784471419119487E-3</v>
      </c>
      <c r="AC146" s="9">
        <f t="shared" si="19"/>
        <v>-1.2962941176470455E-2</v>
      </c>
      <c r="AD146" s="2">
        <f t="shared" si="21"/>
        <v>6.8532687081430108E-5</v>
      </c>
      <c r="AE146" s="45">
        <f t="shared" si="21"/>
        <v>1.6803784394463323E-4</v>
      </c>
      <c r="AF146" s="3">
        <f t="shared" si="22"/>
        <v>-7.730364312178494E-3</v>
      </c>
      <c r="AG146" s="17">
        <f t="shared" si="23"/>
        <v>7.730364312178494E-3</v>
      </c>
      <c r="AH146" s="5">
        <f t="shared" si="20"/>
        <v>0.77303643121784937</v>
      </c>
    </row>
    <row r="147" spans="2:34" x14ac:dyDescent="0.3">
      <c r="B147" s="40">
        <v>45628</v>
      </c>
      <c r="C147" s="54">
        <v>1.0770999999999999</v>
      </c>
      <c r="D147" s="55">
        <v>1.0781000000000001</v>
      </c>
      <c r="E147" s="54">
        <v>1.0806</v>
      </c>
      <c r="F147" s="55">
        <v>1.0754999999999999</v>
      </c>
      <c r="G147" s="58">
        <v>1.07666</v>
      </c>
      <c r="H147" s="59">
        <v>1.0783999999999998</v>
      </c>
      <c r="I147" s="58">
        <v>1.07402</v>
      </c>
      <c r="J147" s="59">
        <v>1.0764800000000001</v>
      </c>
      <c r="K147" s="54">
        <v>1.0770999999999999</v>
      </c>
      <c r="L147" s="60">
        <v>1.1591967555999998</v>
      </c>
      <c r="M147" s="61">
        <v>1.1629465599999995</v>
      </c>
      <c r="N147" s="60">
        <v>1.1535189604</v>
      </c>
      <c r="O147" s="61">
        <v>1.1588091904000002</v>
      </c>
      <c r="P147" s="60">
        <v>1.1601444099999998</v>
      </c>
      <c r="Q147" s="36">
        <v>1.1610701439999997</v>
      </c>
      <c r="R147" s="23">
        <v>1.1563543731999999</v>
      </c>
      <c r="S147" s="36">
        <v>1.1590029568</v>
      </c>
      <c r="T147" s="23">
        <v>1.1582231679999997</v>
      </c>
      <c r="U147" s="36">
        <v>1.160876032</v>
      </c>
      <c r="V147" s="23">
        <v>1.1561610496000001</v>
      </c>
      <c r="W147" s="36">
        <v>1.1596704859999998</v>
      </c>
      <c r="X147" s="23">
        <v>1.1615446399999998</v>
      </c>
      <c r="Y147" s="36">
        <v>1.1568269419999999</v>
      </c>
      <c r="Z147" s="23">
        <v>1.1594766080000001</v>
      </c>
      <c r="AA147" s="9">
        <f t="shared" si="18"/>
        <v>1.0770601755124347</v>
      </c>
      <c r="AB147" s="1">
        <f t="shared" si="17"/>
        <v>3.9824487565232047E-5</v>
      </c>
      <c r="AC147" s="9">
        <f t="shared" si="19"/>
        <v>-6.7629411764704717E-3</v>
      </c>
      <c r="AD147" s="2">
        <f t="shared" si="21"/>
        <v>1.5859898098333219E-9</v>
      </c>
      <c r="AE147" s="45">
        <f t="shared" si="21"/>
        <v>4.5737373356399805E-5</v>
      </c>
      <c r="AF147" s="3">
        <f t="shared" si="22"/>
        <v>3.6973807042272813E-5</v>
      </c>
      <c r="AG147" s="17">
        <f t="shared" si="23"/>
        <v>3.6973807042272813E-5</v>
      </c>
      <c r="AH147" s="5">
        <f t="shared" si="20"/>
        <v>3.6973807042272812E-3</v>
      </c>
    </row>
    <row r="148" spans="2:34" x14ac:dyDescent="0.3">
      <c r="B148" s="40">
        <v>45537</v>
      </c>
      <c r="C148" s="54">
        <v>1.0782</v>
      </c>
      <c r="D148" s="55">
        <v>1.0779000000000001</v>
      </c>
      <c r="E148" s="54">
        <v>1.0795999999999999</v>
      </c>
      <c r="F148" s="55">
        <v>1.0761000000000001</v>
      </c>
      <c r="G148" s="58">
        <v>1.0785399999999998</v>
      </c>
      <c r="H148" s="59">
        <v>1.0804400000000001</v>
      </c>
      <c r="I148" s="58">
        <v>1.0744000000000002</v>
      </c>
      <c r="J148" s="59">
        <v>1.0765199999999999</v>
      </c>
      <c r="K148" s="54">
        <v>1.0782</v>
      </c>
      <c r="L148" s="60">
        <v>1.1632485315999996</v>
      </c>
      <c r="M148" s="61">
        <v>1.1673505936000002</v>
      </c>
      <c r="N148" s="60">
        <v>1.1543353600000006</v>
      </c>
      <c r="O148" s="61">
        <v>1.1588953103999999</v>
      </c>
      <c r="P148" s="60">
        <v>1.1625152400000001</v>
      </c>
      <c r="Q148" s="36">
        <v>1.1652977575999999</v>
      </c>
      <c r="R148" s="23">
        <v>1.1587833760000001</v>
      </c>
      <c r="S148" s="36">
        <v>1.1610698807999997</v>
      </c>
      <c r="T148" s="23">
        <v>1.1608247360000004</v>
      </c>
      <c r="U148" s="36">
        <v>1.1631152687999999</v>
      </c>
      <c r="V148" s="23">
        <v>1.1566130880000003</v>
      </c>
      <c r="W148" s="36">
        <v>1.162881828</v>
      </c>
      <c r="X148" s="23">
        <v>1.164930408</v>
      </c>
      <c r="Y148" s="36">
        <v>1.1584180800000003</v>
      </c>
      <c r="Z148" s="23">
        <v>1.160703864</v>
      </c>
      <c r="AA148" s="9">
        <f t="shared" si="18"/>
        <v>1.0733152955434595</v>
      </c>
      <c r="AB148" s="1">
        <f t="shared" si="17"/>
        <v>4.8847044565405451E-3</v>
      </c>
      <c r="AC148" s="9">
        <f t="shared" si="19"/>
        <v>-5.6629411764703708E-3</v>
      </c>
      <c r="AD148" s="2">
        <f t="shared" si="21"/>
        <v>2.3860337627747061E-5</v>
      </c>
      <c r="AE148" s="45">
        <f t="shared" si="21"/>
        <v>3.2068902768163629E-5</v>
      </c>
      <c r="AF148" s="3">
        <f t="shared" si="22"/>
        <v>4.5304252054725888E-3</v>
      </c>
      <c r="AG148" s="17">
        <f t="shared" si="23"/>
        <v>4.5304252054725888E-3</v>
      </c>
      <c r="AH148" s="5">
        <f t="shared" si="20"/>
        <v>0.45304252054725891</v>
      </c>
    </row>
    <row r="149" spans="2:34" x14ac:dyDescent="0.3">
      <c r="B149" s="40">
        <v>45506</v>
      </c>
      <c r="C149" s="54">
        <v>1.0775999999999999</v>
      </c>
      <c r="D149" s="55">
        <v>1.0771999999999999</v>
      </c>
      <c r="E149" s="54">
        <v>1.079</v>
      </c>
      <c r="F149" s="55">
        <v>1.0741000000000001</v>
      </c>
      <c r="G149" s="58">
        <v>1.07938</v>
      </c>
      <c r="H149" s="59">
        <v>1.08216</v>
      </c>
      <c r="I149" s="58">
        <v>1.0751599999999999</v>
      </c>
      <c r="J149" s="59">
        <v>1.0784400000000001</v>
      </c>
      <c r="K149" s="54">
        <v>1.0775999999999999</v>
      </c>
      <c r="L149" s="60">
        <v>1.1650611844000001</v>
      </c>
      <c r="M149" s="61">
        <v>1.1710702656</v>
      </c>
      <c r="N149" s="60">
        <v>1.1559690255999997</v>
      </c>
      <c r="O149" s="61">
        <v>1.1630328336000002</v>
      </c>
      <c r="P149" s="60">
        <v>1.1612217599999997</v>
      </c>
      <c r="Q149" s="36">
        <v>1.1680618608</v>
      </c>
      <c r="R149" s="23">
        <v>1.1605062008</v>
      </c>
      <c r="S149" s="36">
        <v>1.1640465672</v>
      </c>
      <c r="T149" s="23">
        <v>1.1634951456</v>
      </c>
      <c r="U149" s="36">
        <v>1.1670446304000002</v>
      </c>
      <c r="V149" s="23">
        <v>1.1594955504</v>
      </c>
      <c r="W149" s="36">
        <v>1.1631398879999999</v>
      </c>
      <c r="X149" s="23">
        <v>1.1661356159999998</v>
      </c>
      <c r="Y149" s="36">
        <v>1.1585924159999998</v>
      </c>
      <c r="Z149" s="23">
        <v>1.1621269439999999</v>
      </c>
      <c r="AA149" s="9">
        <f t="shared" si="18"/>
        <v>1.0769358170099594</v>
      </c>
      <c r="AB149" s="1">
        <f t="shared" si="17"/>
        <v>6.6418299004045167E-4</v>
      </c>
      <c r="AC149" s="9">
        <f t="shared" si="19"/>
        <v>-6.2629411764705267E-3</v>
      </c>
      <c r="AD149" s="2">
        <f t="shared" si="21"/>
        <v>4.4113904425907473E-7</v>
      </c>
      <c r="AE149" s="45">
        <f t="shared" si="21"/>
        <v>3.9224432179930023E-5</v>
      </c>
      <c r="AF149" s="3">
        <f t="shared" si="22"/>
        <v>6.1635392542729376E-4</v>
      </c>
      <c r="AG149" s="17">
        <f t="shared" si="23"/>
        <v>6.1635392542729376E-4</v>
      </c>
      <c r="AH149" s="5">
        <f t="shared" si="20"/>
        <v>6.1635392542729373E-2</v>
      </c>
    </row>
    <row r="150" spans="2:34" x14ac:dyDescent="0.3">
      <c r="B150" s="40">
        <v>45475</v>
      </c>
      <c r="C150" s="54">
        <v>1.0770999999999999</v>
      </c>
      <c r="D150" s="55">
        <v>1.0754999999999999</v>
      </c>
      <c r="E150" s="54">
        <v>1.0784</v>
      </c>
      <c r="F150" s="55">
        <v>1.0752999999999999</v>
      </c>
      <c r="G150" s="58">
        <v>1.0811600000000001</v>
      </c>
      <c r="H150" s="59">
        <v>1.08426</v>
      </c>
      <c r="I150" s="58">
        <v>1.0759999999999998</v>
      </c>
      <c r="J150" s="59">
        <v>1.07934</v>
      </c>
      <c r="K150" s="54">
        <v>1.0770999999999999</v>
      </c>
      <c r="L150" s="60">
        <v>1.1689069456000003</v>
      </c>
      <c r="M150" s="61">
        <v>1.1756197476000001</v>
      </c>
      <c r="N150" s="60">
        <v>1.1577759999999997</v>
      </c>
      <c r="O150" s="61">
        <v>1.1649748356</v>
      </c>
      <c r="P150" s="60">
        <v>1.1601444099999998</v>
      </c>
      <c r="Q150" s="36">
        <v>1.1722585416000002</v>
      </c>
      <c r="R150" s="23">
        <v>1.1633281600000001</v>
      </c>
      <c r="S150" s="36">
        <v>1.1669392344</v>
      </c>
      <c r="T150" s="23">
        <v>1.1666637599999998</v>
      </c>
      <c r="U150" s="36">
        <v>1.1702851884000001</v>
      </c>
      <c r="V150" s="23">
        <v>1.1613698399999999</v>
      </c>
      <c r="W150" s="36">
        <v>1.1645174360000001</v>
      </c>
      <c r="X150" s="23">
        <v>1.167856446</v>
      </c>
      <c r="Y150" s="36">
        <v>1.1589595999999998</v>
      </c>
      <c r="Z150" s="23">
        <v>1.1625571139999999</v>
      </c>
      <c r="AA150" s="9">
        <f t="shared" si="18"/>
        <v>1.0758674573569214</v>
      </c>
      <c r="AB150" s="1">
        <f t="shared" si="17"/>
        <v>1.2325426430785935E-3</v>
      </c>
      <c r="AC150" s="9">
        <f t="shared" si="19"/>
        <v>-6.7629411764704717E-3</v>
      </c>
      <c r="AD150" s="2">
        <f t="shared" si="21"/>
        <v>1.5191613670071652E-6</v>
      </c>
      <c r="AE150" s="45">
        <f t="shared" si="21"/>
        <v>4.5737373356399805E-5</v>
      </c>
      <c r="AF150" s="3">
        <f t="shared" si="22"/>
        <v>1.1443158881056482E-3</v>
      </c>
      <c r="AG150" s="17">
        <f t="shared" si="23"/>
        <v>1.1443158881056482E-3</v>
      </c>
      <c r="AH150" s="5">
        <f t="shared" si="20"/>
        <v>0.11443158881056482</v>
      </c>
    </row>
    <row r="151" spans="2:34" x14ac:dyDescent="0.3">
      <c r="B151" s="40">
        <v>45445</v>
      </c>
      <c r="C151" s="54">
        <v>1.0753999999999999</v>
      </c>
      <c r="D151" s="55">
        <v>1.0743</v>
      </c>
      <c r="E151" s="54">
        <v>1.0763</v>
      </c>
      <c r="F151" s="55">
        <v>1.0723</v>
      </c>
      <c r="G151" s="58">
        <v>1.0829599999999999</v>
      </c>
      <c r="H151" s="59">
        <v>1.0861399999999999</v>
      </c>
      <c r="I151" s="58">
        <v>1.0777600000000001</v>
      </c>
      <c r="J151" s="59">
        <v>1.0810600000000001</v>
      </c>
      <c r="K151" s="54">
        <v>1.0753999999999999</v>
      </c>
      <c r="L151" s="60">
        <v>1.1728023615999998</v>
      </c>
      <c r="M151" s="61">
        <v>1.1797000995999998</v>
      </c>
      <c r="N151" s="60">
        <v>1.1615666176000001</v>
      </c>
      <c r="O151" s="61">
        <v>1.1686907236000004</v>
      </c>
      <c r="P151" s="60">
        <v>1.1564851599999999</v>
      </c>
      <c r="Q151" s="36">
        <v>1.1762461743999999</v>
      </c>
      <c r="R151" s="23">
        <v>1.1671709695999999</v>
      </c>
      <c r="S151" s="36">
        <v>1.1707447376</v>
      </c>
      <c r="T151" s="23">
        <v>1.1705982464</v>
      </c>
      <c r="U151" s="36">
        <v>1.1741825083999999</v>
      </c>
      <c r="V151" s="23">
        <v>1.1651232256000001</v>
      </c>
      <c r="W151" s="36">
        <v>1.1646151839999999</v>
      </c>
      <c r="X151" s="23">
        <v>1.1680349559999998</v>
      </c>
      <c r="Y151" s="36">
        <v>1.1590231039999999</v>
      </c>
      <c r="Z151" s="23">
        <v>1.1625719240000001</v>
      </c>
      <c r="AA151" s="9">
        <f t="shared" si="18"/>
        <v>1.0772890760606888</v>
      </c>
      <c r="AB151" s="1">
        <f t="shared" si="17"/>
        <v>-1.8890760606888879E-3</v>
      </c>
      <c r="AC151" s="9">
        <f t="shared" si="19"/>
        <v>-8.4629411764705065E-3</v>
      </c>
      <c r="AD151" s="2">
        <f t="shared" si="21"/>
        <v>3.5686083630678469E-6</v>
      </c>
      <c r="AE151" s="45">
        <f t="shared" si="21"/>
        <v>7.1621373356400007E-5</v>
      </c>
      <c r="AF151" s="3">
        <f t="shared" si="22"/>
        <v>-1.7566264280164479E-3</v>
      </c>
      <c r="AG151" s="17">
        <f t="shared" si="23"/>
        <v>1.7566264280164479E-3</v>
      </c>
      <c r="AH151" s="5">
        <f t="shared" si="20"/>
        <v>0.17566264280164479</v>
      </c>
    </row>
    <row r="152" spans="2:34" x14ac:dyDescent="0.3">
      <c r="B152" s="40">
        <v>45414</v>
      </c>
      <c r="C152" s="54">
        <v>1.0741000000000001</v>
      </c>
      <c r="D152" s="55">
        <v>1.0784</v>
      </c>
      <c r="E152" s="54">
        <v>1.0787</v>
      </c>
      <c r="F152" s="55">
        <v>1.0723</v>
      </c>
      <c r="G152" s="58">
        <v>1.08426</v>
      </c>
      <c r="H152" s="59">
        <v>1.0874000000000001</v>
      </c>
      <c r="I152" s="58">
        <v>1.0792199999999998</v>
      </c>
      <c r="J152" s="59">
        <v>1.0829</v>
      </c>
      <c r="K152" s="54">
        <v>1.0741000000000001</v>
      </c>
      <c r="L152" s="60">
        <v>1.1756197476000001</v>
      </c>
      <c r="M152" s="61">
        <v>1.1824387600000004</v>
      </c>
      <c r="N152" s="60">
        <v>1.1647158083999998</v>
      </c>
      <c r="O152" s="61">
        <v>1.1726724099999999</v>
      </c>
      <c r="P152" s="60">
        <v>1.1536908100000001</v>
      </c>
      <c r="Q152" s="36">
        <v>1.1790243240000002</v>
      </c>
      <c r="R152" s="23">
        <v>1.1701550771999998</v>
      </c>
      <c r="S152" s="36">
        <v>1.1741451540000001</v>
      </c>
      <c r="T152" s="23">
        <v>1.1735438279999999</v>
      </c>
      <c r="U152" s="36">
        <v>1.1775454600000002</v>
      </c>
      <c r="V152" s="23">
        <v>1.1686873379999998</v>
      </c>
      <c r="W152" s="36">
        <v>1.1646036660000001</v>
      </c>
      <c r="X152" s="23">
        <v>1.1679763400000003</v>
      </c>
      <c r="Y152" s="36">
        <v>1.159190202</v>
      </c>
      <c r="Z152" s="23">
        <v>1.16314289</v>
      </c>
      <c r="AA152" s="9">
        <f t="shared" si="18"/>
        <v>1.0798940781162927</v>
      </c>
      <c r="AB152" s="1">
        <f t="shared" si="17"/>
        <v>-5.7940781162926225E-3</v>
      </c>
      <c r="AC152" s="9">
        <f t="shared" si="19"/>
        <v>-9.7629411764703633E-3</v>
      </c>
      <c r="AD152" s="2">
        <f t="shared" si="21"/>
        <v>3.3571341217701068E-5</v>
      </c>
      <c r="AE152" s="45">
        <f t="shared" si="21"/>
        <v>9.5315020415220517E-5</v>
      </c>
      <c r="AF152" s="3">
        <f t="shared" si="22"/>
        <v>-5.394356313464875E-3</v>
      </c>
      <c r="AG152" s="17">
        <f t="shared" si="23"/>
        <v>5.394356313464875E-3</v>
      </c>
      <c r="AH152" s="5">
        <f t="shared" si="20"/>
        <v>0.53943563134648753</v>
      </c>
    </row>
    <row r="153" spans="2:34" x14ac:dyDescent="0.3">
      <c r="B153" s="40">
        <v>45324</v>
      </c>
      <c r="C153" s="54">
        <v>1.0784</v>
      </c>
      <c r="D153" s="55">
        <v>1.0872999999999999</v>
      </c>
      <c r="E153" s="54">
        <v>1.0898000000000001</v>
      </c>
      <c r="F153" s="55">
        <v>1.0780000000000001</v>
      </c>
      <c r="G153" s="58">
        <v>1.0836599999999998</v>
      </c>
      <c r="H153" s="59">
        <v>1.08714</v>
      </c>
      <c r="I153" s="58">
        <v>1.07986</v>
      </c>
      <c r="J153" s="59">
        <v>1.08426</v>
      </c>
      <c r="K153" s="54">
        <v>1.0784</v>
      </c>
      <c r="L153" s="60">
        <v>1.1743189955999997</v>
      </c>
      <c r="M153" s="61">
        <v>1.1818733796000001</v>
      </c>
      <c r="N153" s="60">
        <v>1.1660976196000001</v>
      </c>
      <c r="O153" s="61">
        <v>1.1756197476000001</v>
      </c>
      <c r="P153" s="60">
        <v>1.16294656</v>
      </c>
      <c r="Q153" s="36">
        <v>1.1780901323999999</v>
      </c>
      <c r="R153" s="23">
        <v>1.1702010876</v>
      </c>
      <c r="S153" s="36">
        <v>1.1749691915999998</v>
      </c>
      <c r="T153" s="23">
        <v>1.1739590004</v>
      </c>
      <c r="U153" s="36">
        <v>1.1787424164</v>
      </c>
      <c r="V153" s="23">
        <v>1.1708490036000001</v>
      </c>
      <c r="W153" s="36">
        <v>1.1686189439999999</v>
      </c>
      <c r="X153" s="23">
        <v>1.1723717760000001</v>
      </c>
      <c r="Y153" s="36">
        <v>1.1645210240000001</v>
      </c>
      <c r="Z153" s="23">
        <v>1.1692659839999999</v>
      </c>
      <c r="AA153" s="9">
        <f t="shared" si="18"/>
        <v>1.0850623794004508</v>
      </c>
      <c r="AB153" s="1">
        <f t="shared" si="17"/>
        <v>-6.6623794004507797E-3</v>
      </c>
      <c r="AC153" s="9">
        <f t="shared" si="19"/>
        <v>-5.4629411764703928E-3</v>
      </c>
      <c r="AD153" s="2">
        <f t="shared" si="21"/>
        <v>4.4387299275550888E-5</v>
      </c>
      <c r="AE153" s="45">
        <f t="shared" si="21"/>
        <v>2.984372629757572E-5</v>
      </c>
      <c r="AF153" s="3">
        <f t="shared" si="22"/>
        <v>-6.1780224410708266E-3</v>
      </c>
      <c r="AG153" s="17">
        <f t="shared" si="23"/>
        <v>6.1780224410708266E-3</v>
      </c>
      <c r="AH153" s="5">
        <f t="shared" si="20"/>
        <v>0.61780224410708262</v>
      </c>
    </row>
    <row r="154" spans="2:34" x14ac:dyDescent="0.3">
      <c r="B154" s="40">
        <v>45293</v>
      </c>
      <c r="C154" s="54">
        <v>1.0871999999999999</v>
      </c>
      <c r="D154" s="55">
        <v>1.0813999999999999</v>
      </c>
      <c r="E154" s="54">
        <v>1.0875999999999999</v>
      </c>
      <c r="F154" s="55">
        <v>1.0779000000000001</v>
      </c>
      <c r="G154" s="58">
        <v>1.08508</v>
      </c>
      <c r="H154" s="59">
        <v>1.08768</v>
      </c>
      <c r="I154" s="58">
        <v>1.0806999999999998</v>
      </c>
      <c r="J154" s="59">
        <v>1.0837399999999999</v>
      </c>
      <c r="K154" s="54">
        <v>1.0871999999999999</v>
      </c>
      <c r="L154" s="60">
        <v>1.1773986064000002</v>
      </c>
      <c r="M154" s="61">
        <v>1.1830477823999999</v>
      </c>
      <c r="N154" s="60">
        <v>1.1679124899999995</v>
      </c>
      <c r="O154" s="61">
        <v>1.1744923875999997</v>
      </c>
      <c r="P154" s="60">
        <v>1.1820038399999999</v>
      </c>
      <c r="Q154" s="36">
        <v>1.1802198144</v>
      </c>
      <c r="R154" s="23">
        <v>1.1726459559999998</v>
      </c>
      <c r="S154" s="36">
        <v>1.1759445991999999</v>
      </c>
      <c r="T154" s="23">
        <v>1.1754557759999997</v>
      </c>
      <c r="U154" s="36">
        <v>1.1787623232</v>
      </c>
      <c r="V154" s="23">
        <v>1.1711978179999998</v>
      </c>
      <c r="W154" s="36">
        <v>1.1796989760000001</v>
      </c>
      <c r="X154" s="23">
        <v>1.1825256959999999</v>
      </c>
      <c r="Y154" s="36">
        <v>1.1749370399999997</v>
      </c>
      <c r="Z154" s="23">
        <v>1.1782421279999999</v>
      </c>
      <c r="AA154" s="9">
        <f t="shared" si="18"/>
        <v>1.0809445333136258</v>
      </c>
      <c r="AB154" s="1">
        <f t="shared" si="17"/>
        <v>6.2554666863741115E-3</v>
      </c>
      <c r="AC154" s="9">
        <f t="shared" si="19"/>
        <v>3.3370588235295262E-3</v>
      </c>
      <c r="AD154" s="2">
        <f t="shared" si="21"/>
        <v>3.9130863464336306E-5</v>
      </c>
      <c r="AE154" s="45">
        <f t="shared" si="21"/>
        <v>1.1135961591696266E-5</v>
      </c>
      <c r="AF154" s="3">
        <f t="shared" si="22"/>
        <v>5.7537405135891393E-3</v>
      </c>
      <c r="AG154" s="17">
        <f t="shared" si="23"/>
        <v>5.7537405135891393E-3</v>
      </c>
      <c r="AH154" s="5">
        <f t="shared" si="20"/>
        <v>0.57537405135891395</v>
      </c>
    </row>
    <row r="155" spans="2:34" x14ac:dyDescent="0.3">
      <c r="B155" s="9" t="s">
        <v>144</v>
      </c>
      <c r="C155" s="54">
        <v>1.0815999999999999</v>
      </c>
      <c r="D155" s="55">
        <v>1.0844</v>
      </c>
      <c r="E155" s="54">
        <v>1.0889</v>
      </c>
      <c r="F155" s="55">
        <v>1.0794999999999999</v>
      </c>
      <c r="G155" s="58">
        <v>1.0852799999999998</v>
      </c>
      <c r="H155" s="59">
        <v>1.08856</v>
      </c>
      <c r="I155" s="58">
        <v>1.0817000000000001</v>
      </c>
      <c r="J155" s="59">
        <v>1.08508</v>
      </c>
      <c r="K155" s="54">
        <v>1.0815999999999999</v>
      </c>
      <c r="L155" s="60">
        <v>1.1778326783999995</v>
      </c>
      <c r="M155" s="61">
        <v>1.1849628736</v>
      </c>
      <c r="N155" s="60">
        <v>1.1700748900000002</v>
      </c>
      <c r="O155" s="61">
        <v>1.1773986064000002</v>
      </c>
      <c r="P155" s="60">
        <v>1.1698585599999998</v>
      </c>
      <c r="Q155" s="36">
        <v>1.1813923967999997</v>
      </c>
      <c r="R155" s="23">
        <v>1.1739473759999999</v>
      </c>
      <c r="S155" s="36">
        <v>1.1776156223999998</v>
      </c>
      <c r="T155" s="23">
        <v>1.177495352</v>
      </c>
      <c r="U155" s="36">
        <v>1.1811746848</v>
      </c>
      <c r="V155" s="23">
        <v>1.1737310360000002</v>
      </c>
      <c r="W155" s="36">
        <v>1.1738388479999997</v>
      </c>
      <c r="X155" s="23">
        <v>1.1773864959999998</v>
      </c>
      <c r="Y155" s="36">
        <v>1.1699667199999999</v>
      </c>
      <c r="Z155" s="23">
        <v>1.1736225279999999</v>
      </c>
      <c r="AA155" s="9">
        <f t="shared" si="18"/>
        <v>1.0846130908984586</v>
      </c>
      <c r="AB155" s="1">
        <f t="shared" si="17"/>
        <v>-3.0130908984586924E-3</v>
      </c>
      <c r="AC155" s="9">
        <f t="shared" si="19"/>
        <v>-2.2629411764705232E-3</v>
      </c>
      <c r="AD155" s="2">
        <f t="shared" si="21"/>
        <v>9.0787167623746101E-6</v>
      </c>
      <c r="AE155" s="45">
        <f t="shared" si="21"/>
        <v>5.1209027681657951E-6</v>
      </c>
      <c r="AF155" s="3">
        <f t="shared" si="22"/>
        <v>-2.7857719105572232E-3</v>
      </c>
      <c r="AG155" s="17">
        <f t="shared" si="23"/>
        <v>2.7857719105572232E-3</v>
      </c>
      <c r="AH155" s="5">
        <f t="shared" si="20"/>
        <v>0.27857719105572232</v>
      </c>
    </row>
    <row r="156" spans="2:34" x14ac:dyDescent="0.3">
      <c r="B156" s="9" t="s">
        <v>145</v>
      </c>
      <c r="C156" s="54">
        <v>1.0840000000000001</v>
      </c>
      <c r="D156" s="55">
        <v>1.0832999999999999</v>
      </c>
      <c r="E156" s="54">
        <v>1.0857000000000001</v>
      </c>
      <c r="F156" s="55">
        <v>1.0810999999999999</v>
      </c>
      <c r="G156" s="58">
        <v>1.0862799999999999</v>
      </c>
      <c r="H156" s="59">
        <v>1.0897600000000001</v>
      </c>
      <c r="I156" s="58">
        <v>1.0818999999999999</v>
      </c>
      <c r="J156" s="59">
        <v>1.0852999999999999</v>
      </c>
      <c r="K156" s="54">
        <v>1.0840000000000001</v>
      </c>
      <c r="L156" s="60">
        <v>1.1800042383999998</v>
      </c>
      <c r="M156" s="61">
        <v>1.1875768576000001</v>
      </c>
      <c r="N156" s="60">
        <v>1.1705076099999998</v>
      </c>
      <c r="O156" s="61">
        <v>1.1778760899999998</v>
      </c>
      <c r="P156" s="60">
        <v>1.1750560000000001</v>
      </c>
      <c r="Q156" s="36">
        <v>1.1837844927999999</v>
      </c>
      <c r="R156" s="23">
        <v>1.1752463319999997</v>
      </c>
      <c r="S156" s="36">
        <v>1.1789396839999999</v>
      </c>
      <c r="T156" s="23">
        <v>1.1790113439999999</v>
      </c>
      <c r="U156" s="36">
        <v>1.182716528</v>
      </c>
      <c r="V156" s="23">
        <v>1.1741860699999997</v>
      </c>
      <c r="W156" s="36">
        <v>1.1775275199999999</v>
      </c>
      <c r="X156" s="23">
        <v>1.1812998400000001</v>
      </c>
      <c r="Y156" s="36">
        <v>1.1727795999999999</v>
      </c>
      <c r="Z156" s="23">
        <v>1.1764652</v>
      </c>
      <c r="AA156" s="9">
        <f t="shared" si="18"/>
        <v>1.083143626786494</v>
      </c>
      <c r="AB156" s="1">
        <f t="shared" si="17"/>
        <v>8.5637321350606754E-4</v>
      </c>
      <c r="AC156" s="9">
        <f t="shared" si="19"/>
        <v>1.3705882352965659E-4</v>
      </c>
      <c r="AD156" s="2">
        <f t="shared" si="21"/>
        <v>7.3337508081070875E-7</v>
      </c>
      <c r="AE156" s="45">
        <f t="shared" si="21"/>
        <v>1.8785121107333548E-8</v>
      </c>
      <c r="AF156" s="3">
        <f t="shared" si="22"/>
        <v>7.9001218958124305E-4</v>
      </c>
      <c r="AG156" s="17">
        <f t="shared" si="23"/>
        <v>7.9001218958124305E-4</v>
      </c>
      <c r="AH156" s="5">
        <f t="shared" si="20"/>
        <v>7.90012189581243E-2</v>
      </c>
    </row>
    <row r="157" spans="2:34" x14ac:dyDescent="0.3">
      <c r="B157" s="9" t="s">
        <v>146</v>
      </c>
      <c r="C157" s="54">
        <v>1.0832999999999999</v>
      </c>
      <c r="D157" s="55">
        <v>1.0849</v>
      </c>
      <c r="E157" s="54">
        <v>1.085</v>
      </c>
      <c r="F157" s="55">
        <v>1.0795999999999999</v>
      </c>
      <c r="G157" s="58">
        <v>1.0871200000000001</v>
      </c>
      <c r="H157" s="59">
        <v>1.0909799999999998</v>
      </c>
      <c r="I157" s="58">
        <v>1.0835600000000001</v>
      </c>
      <c r="J157" s="59">
        <v>1.0862599999999998</v>
      </c>
      <c r="K157" s="54">
        <v>1.0832999999999999</v>
      </c>
      <c r="L157" s="60">
        <v>1.1818298944000001</v>
      </c>
      <c r="M157" s="61">
        <v>1.1902373603999996</v>
      </c>
      <c r="N157" s="60">
        <v>1.1741022736000002</v>
      </c>
      <c r="O157" s="61">
        <v>1.1799607875999996</v>
      </c>
      <c r="P157" s="60">
        <v>1.1735388899999999</v>
      </c>
      <c r="Q157" s="36">
        <v>1.1860261775999998</v>
      </c>
      <c r="R157" s="23">
        <v>1.1779597472000001</v>
      </c>
      <c r="S157" s="36">
        <v>1.1808949711999999</v>
      </c>
      <c r="T157" s="23">
        <v>1.1821422887999999</v>
      </c>
      <c r="U157" s="36">
        <v>1.1850879347999996</v>
      </c>
      <c r="V157" s="23">
        <v>1.1770278855999998</v>
      </c>
      <c r="W157" s="36">
        <v>1.177677096</v>
      </c>
      <c r="X157" s="23">
        <v>1.1818586339999997</v>
      </c>
      <c r="Y157" s="36">
        <v>1.1738205479999999</v>
      </c>
      <c r="Z157" s="23">
        <v>1.1767454579999996</v>
      </c>
      <c r="AA157" s="9">
        <f t="shared" si="18"/>
        <v>1.084785538100473</v>
      </c>
      <c r="AB157" s="1">
        <f t="shared" si="17"/>
        <v>-1.4855381004730273E-3</v>
      </c>
      <c r="AC157" s="9">
        <f t="shared" si="19"/>
        <v>-5.6294117647048836E-4</v>
      </c>
      <c r="AD157" s="2">
        <f t="shared" si="21"/>
        <v>2.2068234479570098E-6</v>
      </c>
      <c r="AE157" s="45">
        <f t="shared" si="21"/>
        <v>3.169027681659775E-7</v>
      </c>
      <c r="AF157" s="3">
        <f t="shared" si="22"/>
        <v>-1.371308132994579E-3</v>
      </c>
      <c r="AG157" s="17">
        <f t="shared" si="23"/>
        <v>1.371308132994579E-3</v>
      </c>
      <c r="AH157" s="5">
        <f t="shared" si="20"/>
        <v>0.13713081329945789</v>
      </c>
    </row>
    <row r="158" spans="2:34" x14ac:dyDescent="0.3">
      <c r="B158" s="9" t="s">
        <v>147</v>
      </c>
      <c r="C158" s="54">
        <v>1.0851999999999999</v>
      </c>
      <c r="D158" s="55">
        <v>1.0843</v>
      </c>
      <c r="E158" s="54">
        <v>1.0885</v>
      </c>
      <c r="F158" s="55">
        <v>1.0811999999999999</v>
      </c>
      <c r="G158" s="58">
        <v>1.08778</v>
      </c>
      <c r="H158" s="59">
        <v>1.0912400000000002</v>
      </c>
      <c r="I158" s="58">
        <v>1.0846199999999999</v>
      </c>
      <c r="J158" s="59">
        <v>1.0871599999999999</v>
      </c>
      <c r="K158" s="54">
        <v>1.0851999999999999</v>
      </c>
      <c r="L158" s="60">
        <v>1.1832653283999999</v>
      </c>
      <c r="M158" s="61">
        <v>1.1908047376000004</v>
      </c>
      <c r="N158" s="60">
        <v>1.1764005443999999</v>
      </c>
      <c r="O158" s="61">
        <v>1.1819168655999999</v>
      </c>
      <c r="P158" s="60">
        <v>1.1776590399999998</v>
      </c>
      <c r="Q158" s="36">
        <v>1.1870290472000002</v>
      </c>
      <c r="R158" s="23">
        <v>1.1798279435999999</v>
      </c>
      <c r="S158" s="36">
        <v>1.1825909047999998</v>
      </c>
      <c r="T158" s="23">
        <v>1.1835807288000002</v>
      </c>
      <c r="U158" s="36">
        <v>1.1863524784000001</v>
      </c>
      <c r="V158" s="23">
        <v>1.1791554791999999</v>
      </c>
      <c r="W158" s="36">
        <v>1.180458856</v>
      </c>
      <c r="X158" s="23">
        <v>1.1842136480000001</v>
      </c>
      <c r="Y158" s="36">
        <v>1.1770296239999998</v>
      </c>
      <c r="Z158" s="23">
        <v>1.1797860319999998</v>
      </c>
      <c r="AA158" s="9">
        <f t="shared" si="18"/>
        <v>1.0861191667706631</v>
      </c>
      <c r="AB158" s="1">
        <f t="shared" si="17"/>
        <v>-9.1916677066317121E-4</v>
      </c>
      <c r="AC158" s="9">
        <f t="shared" si="19"/>
        <v>1.3370588235295244E-3</v>
      </c>
      <c r="AD158" s="2">
        <f t="shared" si="21"/>
        <v>8.448675522913628E-7</v>
      </c>
      <c r="AE158" s="45">
        <f t="shared" si="21"/>
        <v>1.7877262975781559E-6</v>
      </c>
      <c r="AF158" s="3">
        <f t="shared" si="22"/>
        <v>-8.4700218454033475E-4</v>
      </c>
      <c r="AG158" s="17">
        <f t="shared" si="23"/>
        <v>8.4700218454033475E-4</v>
      </c>
      <c r="AH158" s="5">
        <f t="shared" si="20"/>
        <v>8.4700218454033471E-2</v>
      </c>
    </row>
    <row r="159" spans="2:34" x14ac:dyDescent="0.3">
      <c r="B159" s="9" t="s">
        <v>148</v>
      </c>
      <c r="C159" s="54">
        <v>1.0846</v>
      </c>
      <c r="D159" s="55">
        <v>1.0885</v>
      </c>
      <c r="E159" s="54">
        <v>1.0903</v>
      </c>
      <c r="F159" s="55">
        <v>1.0821000000000001</v>
      </c>
      <c r="G159" s="58">
        <v>1.0877200000000002</v>
      </c>
      <c r="H159" s="59">
        <v>1.0913200000000001</v>
      </c>
      <c r="I159" s="58">
        <v>1.0851200000000001</v>
      </c>
      <c r="J159" s="59">
        <v>1.0877199999999998</v>
      </c>
      <c r="K159" s="54">
        <v>1.0846</v>
      </c>
      <c r="L159" s="60">
        <v>1.1831347984000005</v>
      </c>
      <c r="M159" s="61">
        <v>1.1909793424000001</v>
      </c>
      <c r="N159" s="60">
        <v>1.1774854144000002</v>
      </c>
      <c r="O159" s="61">
        <v>1.1831347983999996</v>
      </c>
      <c r="P159" s="60">
        <v>1.17635716</v>
      </c>
      <c r="Q159" s="36">
        <v>1.1870505904000004</v>
      </c>
      <c r="R159" s="23">
        <v>1.1803067264000004</v>
      </c>
      <c r="S159" s="36">
        <v>1.1831347984</v>
      </c>
      <c r="T159" s="23">
        <v>1.1842131584000002</v>
      </c>
      <c r="U159" s="36">
        <v>1.1870505903999999</v>
      </c>
      <c r="V159" s="23">
        <v>1.1803067263999998</v>
      </c>
      <c r="W159" s="36">
        <v>1.1797411120000003</v>
      </c>
      <c r="X159" s="23">
        <v>1.1836456720000001</v>
      </c>
      <c r="Y159" s="36">
        <v>1.176921152</v>
      </c>
      <c r="Z159" s="23">
        <v>1.1797411119999999</v>
      </c>
      <c r="AA159" s="9">
        <f t="shared" si="18"/>
        <v>1.087979546148778</v>
      </c>
      <c r="AB159" s="1">
        <f t="shared" si="17"/>
        <v>-3.379546148778001E-3</v>
      </c>
      <c r="AC159" s="9">
        <f t="shared" si="19"/>
        <v>7.3705882352959051E-4</v>
      </c>
      <c r="AD159" s="2">
        <f t="shared" si="21"/>
        <v>1.1421332171720219E-5</v>
      </c>
      <c r="AE159" s="45">
        <f t="shared" si="21"/>
        <v>5.432557093428241E-7</v>
      </c>
      <c r="AF159" s="3">
        <f t="shared" si="22"/>
        <v>-3.115937810047945E-3</v>
      </c>
      <c r="AG159" s="17">
        <f t="shared" si="23"/>
        <v>3.115937810047945E-3</v>
      </c>
      <c r="AH159" s="5">
        <f t="shared" si="20"/>
        <v>0.31159378100479451</v>
      </c>
    </row>
    <row r="160" spans="2:34" x14ac:dyDescent="0.3">
      <c r="B160" s="9" t="s">
        <v>149</v>
      </c>
      <c r="C160" s="54">
        <v>1.0883</v>
      </c>
      <c r="D160" s="55">
        <v>1.0853999999999999</v>
      </c>
      <c r="E160" s="54">
        <v>1.0932999999999999</v>
      </c>
      <c r="F160" s="55">
        <v>1.0845</v>
      </c>
      <c r="G160" s="58">
        <v>1.0881199999999998</v>
      </c>
      <c r="H160" s="59">
        <v>1.09036</v>
      </c>
      <c r="I160" s="58">
        <v>1.0851</v>
      </c>
      <c r="J160" s="59">
        <v>1.08768</v>
      </c>
      <c r="K160" s="54">
        <v>1.0883</v>
      </c>
      <c r="L160" s="60">
        <v>1.1840051343999995</v>
      </c>
      <c r="M160" s="61">
        <v>1.1888849295999999</v>
      </c>
      <c r="N160" s="60">
        <v>1.1774420099999998</v>
      </c>
      <c r="O160" s="61">
        <v>1.1830477823999999</v>
      </c>
      <c r="P160" s="60">
        <v>1.1843968900000001</v>
      </c>
      <c r="Q160" s="36">
        <v>1.1864425231999998</v>
      </c>
      <c r="R160" s="23">
        <v>1.1807190119999997</v>
      </c>
      <c r="S160" s="36">
        <v>1.1835263615999998</v>
      </c>
      <c r="T160" s="23">
        <v>1.183149636</v>
      </c>
      <c r="U160" s="36">
        <v>1.1859627648</v>
      </c>
      <c r="V160" s="23">
        <v>1.180241568</v>
      </c>
      <c r="W160" s="36">
        <v>1.1842009959999997</v>
      </c>
      <c r="X160" s="23">
        <v>1.186638788</v>
      </c>
      <c r="Y160" s="36">
        <v>1.18091433</v>
      </c>
      <c r="Z160" s="23">
        <v>1.1837221440000001</v>
      </c>
      <c r="AA160" s="9">
        <f t="shared" si="18"/>
        <v>1.0866552572366608</v>
      </c>
      <c r="AB160" s="1">
        <f t="shared" si="17"/>
        <v>1.6447427633392575E-3</v>
      </c>
      <c r="AC160" s="9">
        <f t="shared" si="19"/>
        <v>4.4370588235296271E-3</v>
      </c>
      <c r="AD160" s="2">
        <f t="shared" si="21"/>
        <v>2.7051787575568567E-6</v>
      </c>
      <c r="AE160" s="45">
        <f t="shared" si="21"/>
        <v>1.9687491003462118E-5</v>
      </c>
      <c r="AF160" s="3">
        <f t="shared" si="22"/>
        <v>1.5112953811809771E-3</v>
      </c>
      <c r="AG160" s="17">
        <f t="shared" si="23"/>
        <v>1.5112953811809771E-3</v>
      </c>
      <c r="AH160" s="5">
        <f t="shared" si="20"/>
        <v>0.15112953811809771</v>
      </c>
    </row>
    <row r="161" spans="2:34" x14ac:dyDescent="0.3">
      <c r="B161" s="9" t="s">
        <v>150</v>
      </c>
      <c r="C161" s="54">
        <v>1.0851</v>
      </c>
      <c r="D161" s="55">
        <v>1.0883</v>
      </c>
      <c r="E161" s="54">
        <v>1.0916999999999999</v>
      </c>
      <c r="F161" s="55">
        <v>1.0821000000000001</v>
      </c>
      <c r="G161" s="58">
        <v>1.0894599999999999</v>
      </c>
      <c r="H161" s="59">
        <v>1.0910600000000001</v>
      </c>
      <c r="I161" s="58">
        <v>1.0859200000000002</v>
      </c>
      <c r="J161" s="59">
        <v>1.0881399999999999</v>
      </c>
      <c r="K161" s="54">
        <v>1.0851</v>
      </c>
      <c r="L161" s="60">
        <v>1.1869230915999998</v>
      </c>
      <c r="M161" s="61">
        <v>1.1904119236000004</v>
      </c>
      <c r="N161" s="60">
        <v>1.1792222464000004</v>
      </c>
      <c r="O161" s="61">
        <v>1.1840486595999997</v>
      </c>
      <c r="P161" s="60">
        <v>1.1774420099999998</v>
      </c>
      <c r="Q161" s="36">
        <v>1.1886662276</v>
      </c>
      <c r="R161" s="23">
        <v>1.1830664032</v>
      </c>
      <c r="S161" s="36">
        <v>1.1854850043999998</v>
      </c>
      <c r="T161" s="23">
        <v>1.1848038752000003</v>
      </c>
      <c r="U161" s="36">
        <v>1.1872260284</v>
      </c>
      <c r="V161" s="23">
        <v>1.1816329888000001</v>
      </c>
      <c r="W161" s="36">
        <v>1.1821730459999997</v>
      </c>
      <c r="X161" s="23">
        <v>1.183909206</v>
      </c>
      <c r="Y161" s="36">
        <v>1.1783317920000003</v>
      </c>
      <c r="Z161" s="23">
        <v>1.1807407139999999</v>
      </c>
      <c r="AA161" s="9">
        <f t="shared" si="18"/>
        <v>1.085202207801427</v>
      </c>
      <c r="AB161" s="1">
        <f t="shared" si="17"/>
        <v>-1.0220780142700114E-4</v>
      </c>
      <c r="AC161" s="9">
        <f t="shared" si="19"/>
        <v>1.2370588235295354E-3</v>
      </c>
      <c r="AD161" s="2">
        <f t="shared" si="21"/>
        <v>1.0446434672541297E-8</v>
      </c>
      <c r="AE161" s="45">
        <f t="shared" si="21"/>
        <v>1.5303145328722783E-6</v>
      </c>
      <c r="AF161" s="3">
        <f t="shared" si="22"/>
        <v>-9.4192057346789368E-5</v>
      </c>
      <c r="AG161" s="17">
        <f t="shared" si="23"/>
        <v>9.4192057346789368E-5</v>
      </c>
      <c r="AH161" s="5">
        <f t="shared" si="20"/>
        <v>9.4192057346789374E-3</v>
      </c>
    </row>
    <row r="162" spans="2:34" x14ac:dyDescent="0.3">
      <c r="B162" s="9" t="s">
        <v>151</v>
      </c>
      <c r="C162" s="54">
        <v>1.0881000000000001</v>
      </c>
      <c r="D162" s="55">
        <v>1.0891</v>
      </c>
      <c r="E162" s="54">
        <v>1.0911</v>
      </c>
      <c r="F162" s="55">
        <v>1.0879000000000001</v>
      </c>
      <c r="G162" s="58">
        <v>1.0907399999999998</v>
      </c>
      <c r="H162" s="59">
        <v>1.09222</v>
      </c>
      <c r="I162" s="58">
        <v>1.0870000000000002</v>
      </c>
      <c r="J162" s="59">
        <v>1.08948</v>
      </c>
      <c r="K162" s="54">
        <v>1.0881000000000001</v>
      </c>
      <c r="L162" s="60">
        <v>1.1897137475999997</v>
      </c>
      <c r="M162" s="61">
        <v>1.1929445284</v>
      </c>
      <c r="N162" s="60">
        <v>1.1815690000000003</v>
      </c>
      <c r="O162" s="61">
        <v>1.1869666703999999</v>
      </c>
      <c r="P162" s="60">
        <v>1.1839616100000001</v>
      </c>
      <c r="Q162" s="36">
        <v>1.1913280427999997</v>
      </c>
      <c r="R162" s="23">
        <v>1.18563438</v>
      </c>
      <c r="S162" s="36">
        <v>1.1883394151999997</v>
      </c>
      <c r="T162" s="23">
        <v>1.1872431400000001</v>
      </c>
      <c r="U162" s="36">
        <v>1.1899518456</v>
      </c>
      <c r="V162" s="23">
        <v>1.1842647600000002</v>
      </c>
      <c r="W162" s="36">
        <v>1.1868341939999998</v>
      </c>
      <c r="X162" s="23">
        <v>1.188444582</v>
      </c>
      <c r="Y162" s="36">
        <v>1.1827647000000003</v>
      </c>
      <c r="Z162" s="23">
        <v>1.1854631880000002</v>
      </c>
      <c r="AA162" s="9">
        <f t="shared" si="18"/>
        <v>1.0863579378541317</v>
      </c>
      <c r="AB162" s="1">
        <f t="shared" si="17"/>
        <v>1.7420621458683616E-3</v>
      </c>
      <c r="AC162" s="9">
        <f t="shared" si="19"/>
        <v>4.2370588235296491E-3</v>
      </c>
      <c r="AD162" s="2">
        <f t="shared" si="21"/>
        <v>3.0347805200674808E-6</v>
      </c>
      <c r="AE162" s="45">
        <f t="shared" si="21"/>
        <v>1.7952667474050454E-5</v>
      </c>
      <c r="AF162" s="3">
        <f t="shared" si="22"/>
        <v>1.6010129086190255E-3</v>
      </c>
      <c r="AG162" s="17">
        <f t="shared" si="23"/>
        <v>1.6010129086190255E-3</v>
      </c>
      <c r="AH162" s="5">
        <f t="shared" si="20"/>
        <v>0.16010129086190256</v>
      </c>
    </row>
    <row r="163" spans="2:34" x14ac:dyDescent="0.3">
      <c r="B163" s="9" t="s">
        <v>152</v>
      </c>
      <c r="C163" s="54">
        <v>1.0896999999999999</v>
      </c>
      <c r="D163" s="55">
        <v>1.0875999999999999</v>
      </c>
      <c r="E163" s="54">
        <v>1.0898000000000001</v>
      </c>
      <c r="F163" s="55">
        <v>1.0865</v>
      </c>
      <c r="G163" s="58">
        <v>1.0927</v>
      </c>
      <c r="H163" s="59">
        <v>1.0939999999999999</v>
      </c>
      <c r="I163" s="58">
        <v>1.0884</v>
      </c>
      <c r="J163" s="59">
        <v>1.0905200000000002</v>
      </c>
      <c r="K163" s="54">
        <v>1.0896999999999999</v>
      </c>
      <c r="L163" s="60">
        <v>1.1939932900000001</v>
      </c>
      <c r="M163" s="61">
        <v>1.1968359999999998</v>
      </c>
      <c r="N163" s="60">
        <v>1.18461456</v>
      </c>
      <c r="O163" s="61">
        <v>1.1892338704000003</v>
      </c>
      <c r="P163" s="60">
        <v>1.1874460899999997</v>
      </c>
      <c r="Q163" s="36">
        <v>1.1954137999999999</v>
      </c>
      <c r="R163" s="23">
        <v>1.1892946799999999</v>
      </c>
      <c r="S163" s="36">
        <v>1.1916112040000002</v>
      </c>
      <c r="T163" s="23">
        <v>1.1907095999999999</v>
      </c>
      <c r="U163" s="36">
        <v>1.19302888</v>
      </c>
      <c r="V163" s="23">
        <v>1.1869219680000003</v>
      </c>
      <c r="W163" s="36">
        <v>1.1907151899999999</v>
      </c>
      <c r="X163" s="23">
        <v>1.1921317999999996</v>
      </c>
      <c r="Y163" s="36">
        <v>1.18602948</v>
      </c>
      <c r="Z163" s="23">
        <v>1.188339644</v>
      </c>
      <c r="AA163" s="9">
        <f t="shared" si="18"/>
        <v>1.0854553089418193</v>
      </c>
      <c r="AB163" s="1">
        <f t="shared" ref="AB163:AB172" si="24">K163-AA163</f>
        <v>4.2446910581805941E-3</v>
      </c>
      <c r="AC163" s="9">
        <f t="shared" si="19"/>
        <v>5.8370588235294729E-3</v>
      </c>
      <c r="AD163" s="2">
        <f t="shared" si="21"/>
        <v>1.8017402179398292E-5</v>
      </c>
      <c r="AE163" s="45">
        <f t="shared" si="21"/>
        <v>3.4071255709343273E-5</v>
      </c>
      <c r="AF163" s="3">
        <f t="shared" si="22"/>
        <v>3.8952840765170181E-3</v>
      </c>
      <c r="AG163" s="17">
        <f t="shared" si="23"/>
        <v>3.8952840765170181E-3</v>
      </c>
      <c r="AH163" s="5">
        <f t="shared" si="20"/>
        <v>0.38952840765170182</v>
      </c>
    </row>
    <row r="164" spans="2:34" x14ac:dyDescent="0.3">
      <c r="B164" s="9" t="s">
        <v>153</v>
      </c>
      <c r="C164" s="54">
        <v>1.0873999999999999</v>
      </c>
      <c r="D164" s="55">
        <v>1.0882000000000001</v>
      </c>
      <c r="E164" s="54">
        <v>1.0907</v>
      </c>
      <c r="F164" s="55">
        <v>1.0846</v>
      </c>
      <c r="G164" s="58">
        <v>1.0945199999999997</v>
      </c>
      <c r="H164" s="59">
        <v>1.09568</v>
      </c>
      <c r="I164" s="58">
        <v>1.09006</v>
      </c>
      <c r="J164" s="59">
        <v>1.0924399999999999</v>
      </c>
      <c r="K164" s="54">
        <v>1.0873999999999999</v>
      </c>
      <c r="L164" s="60">
        <v>1.1979740303999993</v>
      </c>
      <c r="M164" s="61">
        <v>1.2005146624</v>
      </c>
      <c r="N164" s="60">
        <v>1.1882308036</v>
      </c>
      <c r="O164" s="61">
        <v>1.1934251535999998</v>
      </c>
      <c r="P164" s="60">
        <v>1.1824387599999999</v>
      </c>
      <c r="Q164" s="36">
        <v>1.1992436735999996</v>
      </c>
      <c r="R164" s="23">
        <v>1.1930924711999997</v>
      </c>
      <c r="S164" s="36">
        <v>1.1956974287999995</v>
      </c>
      <c r="T164" s="23">
        <v>1.1943569408000001</v>
      </c>
      <c r="U164" s="36">
        <v>1.1969646591999998</v>
      </c>
      <c r="V164" s="23">
        <v>1.1908251463999999</v>
      </c>
      <c r="W164" s="36">
        <v>1.1901810479999997</v>
      </c>
      <c r="X164" s="23">
        <v>1.1914424319999999</v>
      </c>
      <c r="Y164" s="36">
        <v>1.1853312439999999</v>
      </c>
      <c r="Z164" s="23">
        <v>1.1879192559999998</v>
      </c>
      <c r="AA164" s="9">
        <f t="shared" si="18"/>
        <v>1.0872171628590914</v>
      </c>
      <c r="AB164" s="1">
        <f t="shared" si="24"/>
        <v>1.8283714090849834E-4</v>
      </c>
      <c r="AC164" s="9">
        <f t="shared" si="19"/>
        <v>3.5370588235295042E-3</v>
      </c>
      <c r="AD164" s="2">
        <f t="shared" si="21"/>
        <v>3.3429420095594076E-8</v>
      </c>
      <c r="AE164" s="45">
        <f t="shared" si="21"/>
        <v>1.251078512110792E-5</v>
      </c>
      <c r="AF164" s="3">
        <f t="shared" si="22"/>
        <v>1.6814156787612502E-4</v>
      </c>
      <c r="AG164" s="17">
        <f t="shared" si="23"/>
        <v>1.6814156787612502E-4</v>
      </c>
      <c r="AH164" s="5">
        <f t="shared" si="20"/>
        <v>1.6814156787612503E-2</v>
      </c>
    </row>
    <row r="165" spans="2:34" x14ac:dyDescent="0.3">
      <c r="B165" s="9" t="s">
        <v>154</v>
      </c>
      <c r="C165" s="54">
        <v>1.0881000000000001</v>
      </c>
      <c r="D165" s="55">
        <v>1.0873999999999999</v>
      </c>
      <c r="E165" s="54">
        <v>1.0885</v>
      </c>
      <c r="F165" s="55">
        <v>1.0844</v>
      </c>
      <c r="G165" s="58">
        <v>1.0956600000000001</v>
      </c>
      <c r="H165" s="59">
        <v>1.0974599999999999</v>
      </c>
      <c r="I165" s="58">
        <v>1.09162</v>
      </c>
      <c r="J165" s="59">
        <v>1.0942400000000001</v>
      </c>
      <c r="K165" s="54">
        <v>1.0881000000000001</v>
      </c>
      <c r="L165" s="60">
        <v>1.2004708356000002</v>
      </c>
      <c r="M165" s="61">
        <v>1.2044184515999998</v>
      </c>
      <c r="N165" s="60">
        <v>1.1916342244</v>
      </c>
      <c r="O165" s="61">
        <v>1.1973611776000002</v>
      </c>
      <c r="P165" s="60">
        <v>1.1839616100000001</v>
      </c>
      <c r="Q165" s="36">
        <v>1.2024430235999999</v>
      </c>
      <c r="R165" s="23">
        <v>1.1960443692</v>
      </c>
      <c r="S165" s="36">
        <v>1.1989149984000003</v>
      </c>
      <c r="T165" s="23">
        <v>1.1980092851999999</v>
      </c>
      <c r="U165" s="36">
        <v>1.2008846304</v>
      </c>
      <c r="V165" s="23">
        <v>1.1944942688000002</v>
      </c>
      <c r="W165" s="36">
        <v>1.1921876460000003</v>
      </c>
      <c r="X165" s="23">
        <v>1.194146226</v>
      </c>
      <c r="Y165" s="36">
        <v>1.187791722</v>
      </c>
      <c r="Z165" s="23">
        <v>1.1906425440000001</v>
      </c>
      <c r="AA165" s="9">
        <f t="shared" si="18"/>
        <v>1.090301105296946</v>
      </c>
      <c r="AB165" s="1">
        <f t="shared" si="24"/>
        <v>-2.2011052969459488E-3</v>
      </c>
      <c r="AC165" s="9">
        <f t="shared" si="19"/>
        <v>4.2370588235296491E-3</v>
      </c>
      <c r="AD165" s="2">
        <f t="shared" si="21"/>
        <v>4.8448645282435136E-6</v>
      </c>
      <c r="AE165" s="45">
        <f t="shared" si="21"/>
        <v>1.7952667474050454E-5</v>
      </c>
      <c r="AF165" s="3">
        <f t="shared" si="22"/>
        <v>-2.0228887941787965E-3</v>
      </c>
      <c r="AG165" s="17">
        <f t="shared" si="23"/>
        <v>2.0228887941787965E-3</v>
      </c>
      <c r="AH165" s="5">
        <f t="shared" si="20"/>
        <v>0.20228887941787965</v>
      </c>
    </row>
    <row r="166" spans="2:34" x14ac:dyDescent="0.3">
      <c r="B166" s="9" t="s">
        <v>155</v>
      </c>
      <c r="C166" s="54">
        <v>1.0873999999999999</v>
      </c>
      <c r="D166" s="55">
        <v>1.095</v>
      </c>
      <c r="E166" s="54">
        <v>1.0952</v>
      </c>
      <c r="F166" s="55">
        <v>1.0862000000000001</v>
      </c>
      <c r="G166" s="58">
        <v>1.0956999999999999</v>
      </c>
      <c r="H166" s="59">
        <v>1.0977599999999998</v>
      </c>
      <c r="I166" s="58">
        <v>1.0925800000000001</v>
      </c>
      <c r="J166" s="59">
        <v>1.09538</v>
      </c>
      <c r="K166" s="54">
        <v>1.0873999999999999</v>
      </c>
      <c r="L166" s="60">
        <v>1.2005584899999997</v>
      </c>
      <c r="M166" s="61">
        <v>1.2050770175999996</v>
      </c>
      <c r="N166" s="60">
        <v>1.1937310564000003</v>
      </c>
      <c r="O166" s="61">
        <v>1.1998573444</v>
      </c>
      <c r="P166" s="60">
        <v>1.1824387599999999</v>
      </c>
      <c r="Q166" s="36">
        <v>1.2028156319999996</v>
      </c>
      <c r="R166" s="23">
        <v>1.1971399060000001</v>
      </c>
      <c r="S166" s="36">
        <v>1.200207866</v>
      </c>
      <c r="T166" s="23">
        <v>1.1993906208</v>
      </c>
      <c r="U166" s="36">
        <v>1.2024643487999997</v>
      </c>
      <c r="V166" s="23">
        <v>1.1967902804000001</v>
      </c>
      <c r="W166" s="36">
        <v>1.1914641799999999</v>
      </c>
      <c r="X166" s="23">
        <v>1.1937042239999998</v>
      </c>
      <c r="Y166" s="36">
        <v>1.188071492</v>
      </c>
      <c r="Z166" s="23">
        <v>1.1911162119999998</v>
      </c>
      <c r="AA166" s="9">
        <f t="shared" si="18"/>
        <v>1.0936929170990175</v>
      </c>
      <c r="AB166" s="1">
        <f t="shared" si="24"/>
        <v>-6.2929170990175809E-3</v>
      </c>
      <c r="AC166" s="9">
        <f t="shared" si="19"/>
        <v>3.5370588235295042E-3</v>
      </c>
      <c r="AD166" s="2">
        <f t="shared" si="21"/>
        <v>3.9600805615107848E-5</v>
      </c>
      <c r="AE166" s="45">
        <f t="shared" si="21"/>
        <v>1.251078512110792E-5</v>
      </c>
      <c r="AF166" s="3">
        <f t="shared" si="22"/>
        <v>-5.787122585081462E-3</v>
      </c>
      <c r="AG166" s="17">
        <f t="shared" si="23"/>
        <v>5.787122585081462E-3</v>
      </c>
      <c r="AH166" s="5">
        <f t="shared" si="20"/>
        <v>0.57871225850814623</v>
      </c>
    </row>
    <row r="167" spans="2:34" x14ac:dyDescent="0.3">
      <c r="B167" s="9" t="s">
        <v>156</v>
      </c>
      <c r="C167" s="54">
        <v>1.0948</v>
      </c>
      <c r="D167" s="55">
        <v>1.0954999999999999</v>
      </c>
      <c r="E167" s="54">
        <v>1.0969</v>
      </c>
      <c r="F167" s="55">
        <v>1.0932999999999999</v>
      </c>
      <c r="G167" s="58">
        <v>1.09552</v>
      </c>
      <c r="H167" s="59">
        <v>1.09796</v>
      </c>
      <c r="I167" s="58">
        <v>1.09236</v>
      </c>
      <c r="J167" s="59">
        <v>1.0953999999999999</v>
      </c>
      <c r="K167" s="54">
        <v>1.0948</v>
      </c>
      <c r="L167" s="60">
        <v>1.2001640704000001</v>
      </c>
      <c r="M167" s="61">
        <v>1.2055161616000001</v>
      </c>
      <c r="N167" s="60">
        <v>1.1932503696000001</v>
      </c>
      <c r="O167" s="61">
        <v>1.1999011599999998</v>
      </c>
      <c r="P167" s="60">
        <v>1.19858704</v>
      </c>
      <c r="Q167" s="36">
        <v>1.2028371392000001</v>
      </c>
      <c r="R167" s="23">
        <v>1.1967022272000001</v>
      </c>
      <c r="S167" s="36">
        <v>1.2000326079999999</v>
      </c>
      <c r="T167" s="23">
        <v>1.1993675856000001</v>
      </c>
      <c r="U167" s="36">
        <v>1.2027053839999999</v>
      </c>
      <c r="V167" s="23">
        <v>1.196571144</v>
      </c>
      <c r="W167" s="36">
        <v>1.1993752960000001</v>
      </c>
      <c r="X167" s="23">
        <v>1.2020466080000001</v>
      </c>
      <c r="Y167" s="36">
        <v>1.1959157279999999</v>
      </c>
      <c r="Z167" s="23">
        <v>1.19924392</v>
      </c>
      <c r="AA167" s="9">
        <f t="shared" si="18"/>
        <v>1.0940993169616167</v>
      </c>
      <c r="AB167" s="1">
        <f t="shared" si="24"/>
        <v>7.0068303838333179E-4</v>
      </c>
      <c r="AC167" s="9">
        <f t="shared" si="19"/>
        <v>1.0937058823529577E-2</v>
      </c>
      <c r="AD167" s="2">
        <f t="shared" si="21"/>
        <v>4.909567202780976E-7</v>
      </c>
      <c r="AE167" s="45">
        <f t="shared" si="21"/>
        <v>1.1961925570934619E-4</v>
      </c>
      <c r="AF167" s="3">
        <f t="shared" si="22"/>
        <v>6.4001008255693437E-4</v>
      </c>
      <c r="AG167" s="17">
        <f t="shared" si="23"/>
        <v>6.4001008255693437E-4</v>
      </c>
      <c r="AH167" s="5">
        <f t="shared" si="20"/>
        <v>6.4001008255693437E-2</v>
      </c>
    </row>
    <row r="168" spans="2:34" x14ac:dyDescent="0.3">
      <c r="B168" s="40">
        <v>45627</v>
      </c>
      <c r="C168" s="54">
        <v>1.0949</v>
      </c>
      <c r="D168" s="55">
        <v>1.0973999999999999</v>
      </c>
      <c r="E168" s="54">
        <v>1.0987</v>
      </c>
      <c r="F168" s="55">
        <v>1.0934999999999999</v>
      </c>
      <c r="G168" s="58">
        <v>1.0949800000000001</v>
      </c>
      <c r="H168" s="59">
        <v>1.0981999999999998</v>
      </c>
      <c r="I168" s="58">
        <v>1.09118</v>
      </c>
      <c r="J168" s="59">
        <v>1.09524</v>
      </c>
      <c r="K168" s="54">
        <v>1.0949</v>
      </c>
      <c r="L168" s="60">
        <v>1.1989812004000002</v>
      </c>
      <c r="M168" s="61">
        <v>1.2060432399999996</v>
      </c>
      <c r="N168" s="60">
        <v>1.1906737924000002</v>
      </c>
      <c r="O168" s="61">
        <v>1.1995506575999999</v>
      </c>
      <c r="P168" s="60">
        <v>1.19880601</v>
      </c>
      <c r="Q168" s="36">
        <v>1.2025070359999999</v>
      </c>
      <c r="R168" s="23">
        <v>1.1948202764000002</v>
      </c>
      <c r="S168" s="36">
        <v>1.1992658952000002</v>
      </c>
      <c r="T168" s="23">
        <v>1.198333876</v>
      </c>
      <c r="U168" s="36">
        <v>1.2027925679999998</v>
      </c>
      <c r="V168" s="23">
        <v>1.1951039832000001</v>
      </c>
      <c r="W168" s="36">
        <v>1.1988936020000001</v>
      </c>
      <c r="X168" s="23">
        <v>1.2024191799999999</v>
      </c>
      <c r="Y168" s="36">
        <v>1.1947329820000001</v>
      </c>
      <c r="Z168" s="23">
        <v>1.199178276</v>
      </c>
      <c r="AA168" s="9">
        <f t="shared" si="18"/>
        <v>1.0943700256835418</v>
      </c>
      <c r="AB168" s="1">
        <f t="shared" si="24"/>
        <v>5.299743164581816E-4</v>
      </c>
      <c r="AC168" s="9">
        <f t="shared" si="19"/>
        <v>1.1037058823529566E-2</v>
      </c>
      <c r="AD168" s="2">
        <f t="shared" si="21"/>
        <v>2.8087277610531681E-7</v>
      </c>
      <c r="AE168" s="45">
        <f t="shared" si="21"/>
        <v>1.2181666747405186E-4</v>
      </c>
      <c r="AF168" s="3">
        <f t="shared" si="22"/>
        <v>4.8403901402701763E-4</v>
      </c>
      <c r="AG168" s="17">
        <f t="shared" si="23"/>
        <v>4.8403901402701763E-4</v>
      </c>
      <c r="AH168" s="5">
        <f t="shared" si="20"/>
        <v>4.840390140270176E-2</v>
      </c>
    </row>
    <row r="169" spans="2:34" x14ac:dyDescent="0.3">
      <c r="B169" s="40">
        <v>45597</v>
      </c>
      <c r="C169" s="54">
        <v>1.097</v>
      </c>
      <c r="D169" s="55">
        <v>1.0972999999999999</v>
      </c>
      <c r="E169" s="54">
        <v>1.0991</v>
      </c>
      <c r="F169" s="55">
        <v>1.0929</v>
      </c>
      <c r="G169" s="58">
        <v>1.0939399999999999</v>
      </c>
      <c r="H169" s="59">
        <v>1.0978399999999999</v>
      </c>
      <c r="I169" s="58">
        <v>1.0909</v>
      </c>
      <c r="J169" s="59">
        <v>1.0947</v>
      </c>
      <c r="K169" s="54">
        <v>1.097</v>
      </c>
      <c r="L169" s="60">
        <v>1.1967047235999999</v>
      </c>
      <c r="M169" s="61">
        <v>1.2052526655999998</v>
      </c>
      <c r="N169" s="60">
        <v>1.1900628099999999</v>
      </c>
      <c r="O169" s="61">
        <v>1.19836809</v>
      </c>
      <c r="P169" s="60">
        <v>1.203409</v>
      </c>
      <c r="Q169" s="36">
        <v>1.2009710895999999</v>
      </c>
      <c r="R169" s="23">
        <v>1.1933791459999998</v>
      </c>
      <c r="S169" s="36">
        <v>1.1975361179999999</v>
      </c>
      <c r="T169" s="23">
        <v>1.1976336559999998</v>
      </c>
      <c r="U169" s="36">
        <v>1.201805448</v>
      </c>
      <c r="V169" s="23">
        <v>1.1942082300000001</v>
      </c>
      <c r="W169" s="36">
        <v>1.2000521799999999</v>
      </c>
      <c r="X169" s="23">
        <v>1.2043304799999999</v>
      </c>
      <c r="Y169" s="36">
        <v>1.1967173</v>
      </c>
      <c r="Z169" s="23">
        <v>1.2008859000000001</v>
      </c>
      <c r="AA169" s="9">
        <f t="shared" si="18"/>
        <v>1.0953003349948645</v>
      </c>
      <c r="AB169" s="1">
        <f t="shared" si="24"/>
        <v>1.69966500513552E-3</v>
      </c>
      <c r="AC169" s="9">
        <f t="shared" si="19"/>
        <v>1.3137058823529557E-2</v>
      </c>
      <c r="AD169" s="2">
        <f t="shared" si="21"/>
        <v>2.8888611296823273E-6</v>
      </c>
      <c r="AE169" s="45">
        <f t="shared" si="21"/>
        <v>1.725823145328758E-4</v>
      </c>
      <c r="AF169" s="3">
        <f t="shared" si="22"/>
        <v>1.5493755744170647E-3</v>
      </c>
      <c r="AG169" s="17">
        <f t="shared" si="23"/>
        <v>1.5493755744170647E-3</v>
      </c>
      <c r="AH169" s="5">
        <f t="shared" si="20"/>
        <v>0.15493755744170645</v>
      </c>
    </row>
    <row r="170" spans="2:34" x14ac:dyDescent="0.3">
      <c r="B170" s="40">
        <v>45566</v>
      </c>
      <c r="C170" s="54">
        <v>1.0971</v>
      </c>
      <c r="D170" s="55">
        <v>1.0931</v>
      </c>
      <c r="E170" s="54">
        <v>1.0973999999999999</v>
      </c>
      <c r="F170" s="55">
        <v>1.0922000000000001</v>
      </c>
      <c r="G170" s="58">
        <v>1.0941800000000002</v>
      </c>
      <c r="H170" s="59">
        <v>1.09768</v>
      </c>
      <c r="I170" s="58">
        <v>1.0903</v>
      </c>
      <c r="J170" s="59">
        <v>1.0937000000000001</v>
      </c>
      <c r="K170" s="54">
        <v>1.0971</v>
      </c>
      <c r="L170" s="60">
        <v>1.1972298724000003</v>
      </c>
      <c r="M170" s="61">
        <v>1.2049013823999999</v>
      </c>
      <c r="N170" s="60">
        <v>1.1887540900000002</v>
      </c>
      <c r="O170" s="61">
        <v>1.1961796900000004</v>
      </c>
      <c r="P170" s="60">
        <v>1.2036284099999999</v>
      </c>
      <c r="Q170" s="36">
        <v>1.2010595024000001</v>
      </c>
      <c r="R170" s="23">
        <v>1.1929844540000003</v>
      </c>
      <c r="S170" s="36">
        <v>1.1967046660000003</v>
      </c>
      <c r="T170" s="23">
        <v>1.196800504</v>
      </c>
      <c r="U170" s="36">
        <v>1.2005326160000001</v>
      </c>
      <c r="V170" s="23">
        <v>1.1924611100000002</v>
      </c>
      <c r="W170" s="36">
        <v>1.2004248780000002</v>
      </c>
      <c r="X170" s="23">
        <v>1.2042647279999998</v>
      </c>
      <c r="Y170" s="36">
        <v>1.19616813</v>
      </c>
      <c r="Z170" s="23">
        <v>1.19989827</v>
      </c>
      <c r="AA170" s="9">
        <f t="shared" si="18"/>
        <v>1.0918254566896084</v>
      </c>
      <c r="AB170" s="1">
        <f t="shared" si="24"/>
        <v>5.2745433103915662E-3</v>
      </c>
      <c r="AC170" s="9">
        <f t="shared" si="19"/>
        <v>1.3237058823529546E-2</v>
      </c>
      <c r="AD170" s="2">
        <f t="shared" si="21"/>
        <v>2.7820807133196421E-5</v>
      </c>
      <c r="AE170" s="45">
        <f t="shared" si="21"/>
        <v>1.7521972629758141E-4</v>
      </c>
      <c r="AF170" s="3">
        <f t="shared" si="22"/>
        <v>4.8077142561221099E-3</v>
      </c>
      <c r="AG170" s="17">
        <f t="shared" si="23"/>
        <v>4.8077142561221099E-3</v>
      </c>
      <c r="AH170" s="5">
        <f t="shared" si="20"/>
        <v>0.48077142561221098</v>
      </c>
    </row>
    <row r="171" spans="2:34" x14ac:dyDescent="0.3">
      <c r="B171" s="40">
        <v>45536</v>
      </c>
      <c r="C171" s="54">
        <v>1.0931</v>
      </c>
      <c r="D171" s="55">
        <v>1.0952</v>
      </c>
      <c r="E171" s="54">
        <v>1.0967</v>
      </c>
      <c r="F171" s="55">
        <v>1.091</v>
      </c>
      <c r="G171" s="58">
        <v>1.09602</v>
      </c>
      <c r="H171" s="59">
        <v>1.0992599999999999</v>
      </c>
      <c r="I171" s="58">
        <v>1.0908599999999999</v>
      </c>
      <c r="J171" s="59">
        <v>1.09402</v>
      </c>
      <c r="K171" s="54">
        <v>1.0931</v>
      </c>
      <c r="L171" s="60">
        <v>1.2012598403999999</v>
      </c>
      <c r="M171" s="61">
        <v>1.2083725475999998</v>
      </c>
      <c r="N171" s="60">
        <v>1.1899755395999998</v>
      </c>
      <c r="O171" s="61">
        <v>1.1968797603999999</v>
      </c>
      <c r="P171" s="60">
        <v>1.19486761</v>
      </c>
      <c r="Q171" s="36">
        <v>1.2048109452</v>
      </c>
      <c r="R171" s="23">
        <v>1.1956043772</v>
      </c>
      <c r="S171" s="36">
        <v>1.1990678003999999</v>
      </c>
      <c r="T171" s="23">
        <v>1.1991387635999999</v>
      </c>
      <c r="U171" s="36">
        <v>1.2026124251999999</v>
      </c>
      <c r="V171" s="23">
        <v>1.1934226572</v>
      </c>
      <c r="W171" s="36">
        <v>1.198059462</v>
      </c>
      <c r="X171" s="23">
        <v>1.2016011059999998</v>
      </c>
      <c r="Y171" s="36">
        <v>1.1924190659999998</v>
      </c>
      <c r="Z171" s="23">
        <v>1.1958732619999999</v>
      </c>
      <c r="AA171" s="9">
        <f t="shared" si="18"/>
        <v>1.0888690599728528</v>
      </c>
      <c r="AB171" s="1">
        <f t="shared" si="24"/>
        <v>4.2309400271471898E-3</v>
      </c>
      <c r="AC171" s="9">
        <f t="shared" si="19"/>
        <v>9.2370588235295426E-3</v>
      </c>
      <c r="AD171" s="2">
        <f t="shared" si="21"/>
        <v>1.7900853513316262E-5</v>
      </c>
      <c r="AE171" s="45">
        <f t="shared" si="21"/>
        <v>8.5323255709344971E-5</v>
      </c>
      <c r="AF171" s="3">
        <f t="shared" si="22"/>
        <v>3.8705882601291646E-3</v>
      </c>
      <c r="AG171" s="17">
        <f t="shared" si="23"/>
        <v>3.8705882601291646E-3</v>
      </c>
      <c r="AH171" s="5">
        <f t="shared" si="20"/>
        <v>0.38705882601291647</v>
      </c>
    </row>
    <row r="172" spans="2:34" ht="15" thickBot="1" x14ac:dyDescent="0.35">
      <c r="B172" s="40">
        <v>45505</v>
      </c>
      <c r="C172" s="54">
        <v>1.0949</v>
      </c>
      <c r="D172" s="55">
        <v>1.0946</v>
      </c>
      <c r="E172" s="54">
        <v>1.0979000000000001</v>
      </c>
      <c r="F172" s="55">
        <v>1.0922000000000001</v>
      </c>
      <c r="G172" s="58">
        <v>1.0979800000000002</v>
      </c>
      <c r="H172" s="59">
        <v>1.1006400000000001</v>
      </c>
      <c r="I172" s="58">
        <v>1.09314</v>
      </c>
      <c r="J172" s="59">
        <v>1.09592</v>
      </c>
      <c r="K172" s="54">
        <v>1.0949</v>
      </c>
      <c r="L172" s="60">
        <v>1.2055600804000004</v>
      </c>
      <c r="M172" s="61">
        <v>1.2114084096000002</v>
      </c>
      <c r="N172" s="60">
        <v>1.1949550596</v>
      </c>
      <c r="O172" s="61">
        <v>1.2010406464000001</v>
      </c>
      <c r="P172" s="60">
        <v>1.19880601</v>
      </c>
      <c r="Q172" s="36">
        <v>1.2084807072000003</v>
      </c>
      <c r="R172" s="23">
        <v>1.2002458572000001</v>
      </c>
      <c r="S172" s="36">
        <v>1.2032982416000002</v>
      </c>
      <c r="T172" s="23">
        <v>1.2031536096000002</v>
      </c>
      <c r="U172" s="36">
        <v>1.2062133888000002</v>
      </c>
      <c r="V172" s="23">
        <v>1.1979939888</v>
      </c>
      <c r="W172" s="36">
        <v>1.2021783020000001</v>
      </c>
      <c r="X172" s="23">
        <v>1.2050907360000001</v>
      </c>
      <c r="Y172" s="36">
        <v>1.196878986</v>
      </c>
      <c r="Z172" s="23">
        <v>1.199922808</v>
      </c>
      <c r="AA172" s="9">
        <f t="shared" si="18"/>
        <v>1.0905361695796101</v>
      </c>
      <c r="AB172" s="1">
        <f t="shared" si="24"/>
        <v>4.3638304203899025E-3</v>
      </c>
      <c r="AC172" s="9">
        <f t="shared" si="19"/>
        <v>1.1037058823529566E-2</v>
      </c>
      <c r="AD172" s="2">
        <f t="shared" si="21"/>
        <v>1.9043015937920312E-5</v>
      </c>
      <c r="AE172" s="45">
        <f t="shared" si="21"/>
        <v>1.2181666747405186E-4</v>
      </c>
      <c r="AF172" s="3">
        <f t="shared" si="22"/>
        <v>3.9855972421133463E-3</v>
      </c>
      <c r="AG172" s="17">
        <f t="shared" si="23"/>
        <v>3.9855972421133463E-3</v>
      </c>
      <c r="AH172" s="5">
        <f t="shared" si="20"/>
        <v>0.39855972421133462</v>
      </c>
    </row>
    <row r="173" spans="2:34" ht="15" thickBot="1" x14ac:dyDescent="0.35">
      <c r="B173" s="14" t="s">
        <v>65</v>
      </c>
      <c r="C173" s="52">
        <f>SUM(C3:C172)</f>
        <v>184.25669999999997</v>
      </c>
      <c r="D173" s="52">
        <f>SUM(D3:D172)</f>
        <v>184.26980000000006</v>
      </c>
      <c r="E173" s="52">
        <f>SUM(E3:E172)</f>
        <v>184.75400000000008</v>
      </c>
      <c r="F173" s="52">
        <f>SUM(F3:F172)</f>
        <v>183.78629999999998</v>
      </c>
      <c r="G173" s="56">
        <f>SUM(G3:G172)</f>
        <v>184.21894000000012</v>
      </c>
      <c r="H173" s="56">
        <f t="shared" ref="H173:Y173" si="25">SUM(H3:H172)</f>
        <v>184.70887999999988</v>
      </c>
      <c r="I173" s="56">
        <f t="shared" si="25"/>
        <v>183.73475999999994</v>
      </c>
      <c r="J173" s="56">
        <f t="shared" si="25"/>
        <v>184.21162000000012</v>
      </c>
      <c r="K173" s="52">
        <f t="shared" si="25"/>
        <v>184.25669999999997</v>
      </c>
      <c r="L173" s="62">
        <f t="shared" si="25"/>
        <v>199.6432587731999</v>
      </c>
      <c r="M173" s="62">
        <f t="shared" si="25"/>
        <v>200.70692127839993</v>
      </c>
      <c r="N173" s="62">
        <f t="shared" si="25"/>
        <v>198.59535936559976</v>
      </c>
      <c r="O173" s="62">
        <f t="shared" si="25"/>
        <v>199.62825916440002</v>
      </c>
      <c r="P173" s="62">
        <f t="shared" si="25"/>
        <v>199.72922073000004</v>
      </c>
      <c r="Q173" s="63">
        <f t="shared" si="25"/>
        <v>200.17430830800006</v>
      </c>
      <c r="R173" s="63">
        <f t="shared" si="25"/>
        <v>199.11851247160007</v>
      </c>
      <c r="S173" s="63">
        <f t="shared" si="25"/>
        <v>199.63556543160001</v>
      </c>
      <c r="T173" s="63">
        <f t="shared" si="25"/>
        <v>199.64822699119992</v>
      </c>
      <c r="U173" s="63">
        <f t="shared" si="25"/>
        <v>200.16677561200001</v>
      </c>
      <c r="V173" s="63">
        <f t="shared" si="25"/>
        <v>199.11106792280009</v>
      </c>
      <c r="W173" s="63">
        <f t="shared" si="25"/>
        <v>199.68319888400001</v>
      </c>
      <c r="X173" s="63">
        <f t="shared" si="25"/>
        <v>200.21487117200002</v>
      </c>
      <c r="Y173" s="63">
        <f t="shared" si="25"/>
        <v>199.15906282399999</v>
      </c>
      <c r="Z173" s="63">
        <f>SUM(Z3:Z172)</f>
        <v>199.6766258959999</v>
      </c>
      <c r="AA173" s="11"/>
      <c r="AB173" s="12"/>
      <c r="AC173" s="11"/>
      <c r="AD173" s="15">
        <f>SUM(AD3:AD172)</f>
        <v>2.6255608377002229E-3</v>
      </c>
      <c r="AE173" s="46">
        <f>SUM(AE3:AE172)</f>
        <v>2.021193652941173E-2</v>
      </c>
      <c r="AF173" s="12"/>
      <c r="AG173" s="41"/>
      <c r="AH173" s="13">
        <f>SUM(AH3:AH172)</f>
        <v>46.121448937637233</v>
      </c>
    </row>
    <row r="174" spans="2:34" ht="15" thickBot="1" x14ac:dyDescent="0.35">
      <c r="AG174" s="3"/>
    </row>
    <row r="175" spans="2:34" ht="15" thickBot="1" x14ac:dyDescent="0.35">
      <c r="C175" s="76" t="s">
        <v>89</v>
      </c>
      <c r="D175" s="77"/>
      <c r="E175" s="77"/>
      <c r="F175" s="77"/>
      <c r="G175" s="77"/>
      <c r="H175" s="75"/>
    </row>
    <row r="176" spans="2:34" ht="15" thickBot="1" x14ac:dyDescent="0.35">
      <c r="C176" s="19">
        <f>COUNTA(C3:C172)</f>
        <v>170</v>
      </c>
      <c r="D176" s="20">
        <f>G173</f>
        <v>184.21894000000012</v>
      </c>
      <c r="E176" s="20">
        <f>H173</f>
        <v>184.70887999999988</v>
      </c>
      <c r="F176" s="20">
        <f>I173</f>
        <v>183.73475999999994</v>
      </c>
      <c r="G176" s="20">
        <f>J173</f>
        <v>184.21162000000012</v>
      </c>
      <c r="H176" s="21">
        <f>K173</f>
        <v>184.25669999999997</v>
      </c>
      <c r="J176" s="29" t="s">
        <v>66</v>
      </c>
      <c r="K176" s="32" t="s">
        <v>67</v>
      </c>
      <c r="L176" s="30" t="s">
        <v>68</v>
      </c>
      <c r="M176" s="32" t="s">
        <v>69</v>
      </c>
      <c r="N176" s="30" t="s">
        <v>70</v>
      </c>
      <c r="O176" s="11" t="s">
        <v>74</v>
      </c>
    </row>
    <row r="177" spans="3:18" ht="15" thickBot="1" x14ac:dyDescent="0.35">
      <c r="C177" s="22">
        <f>G173</f>
        <v>184.21894000000012</v>
      </c>
      <c r="D177" s="23">
        <f>L173</f>
        <v>199.6432587731999</v>
      </c>
      <c r="E177" s="23">
        <f>Q173</f>
        <v>200.17430830800006</v>
      </c>
      <c r="F177" s="23">
        <f>R173</f>
        <v>199.11851247160007</v>
      </c>
      <c r="G177" s="23">
        <f>S173</f>
        <v>199.63556543160001</v>
      </c>
      <c r="H177" s="24">
        <f>W173</f>
        <v>199.68319888400001</v>
      </c>
      <c r="J177" s="28">
        <f>H206-(D206*K177)-(E206*L177)-(F206*M177)-(G206*N177)</f>
        <v>0.10666207973068964</v>
      </c>
      <c r="K177" s="10">
        <f>H207-(E207*L177)-(F207*M177)-(G207*N177)</f>
        <v>-2.4353776608299227</v>
      </c>
      <c r="L177" s="6">
        <f>H208-(F208*M177)-(G208*N177)</f>
        <v>0.24844084146281986</v>
      </c>
      <c r="M177" s="10">
        <f>H209-(G209*N177)</f>
        <v>0.59771132449326281</v>
      </c>
      <c r="N177" s="26">
        <f>H210</f>
        <v>2.4920103373264069</v>
      </c>
      <c r="O177" s="42">
        <f>K173/COUNTA(C3:C172)</f>
        <v>1.0838629411764704</v>
      </c>
    </row>
    <row r="178" spans="3:18" ht="15" thickBot="1" x14ac:dyDescent="0.35">
      <c r="C178" s="22">
        <f>H173</f>
        <v>184.70887999999988</v>
      </c>
      <c r="D178" s="23">
        <f>Q173</f>
        <v>200.17430830800006</v>
      </c>
      <c r="E178" s="23">
        <f>M173</f>
        <v>200.70692127839993</v>
      </c>
      <c r="F178" s="23">
        <f>T173</f>
        <v>199.64822699119992</v>
      </c>
      <c r="G178" s="23">
        <f>U173</f>
        <v>200.16677561200001</v>
      </c>
      <c r="H178" s="24">
        <f>X173</f>
        <v>200.21487117200002</v>
      </c>
    </row>
    <row r="179" spans="3:18" ht="15" thickBot="1" x14ac:dyDescent="0.35">
      <c r="C179" s="22">
        <f>I173</f>
        <v>183.73475999999994</v>
      </c>
      <c r="D179" s="23">
        <f>R173</f>
        <v>199.11851247160007</v>
      </c>
      <c r="E179" s="23">
        <f>T173</f>
        <v>199.64822699119992</v>
      </c>
      <c r="F179" s="23">
        <f>N173</f>
        <v>198.59535936559976</v>
      </c>
      <c r="G179" s="23">
        <f>V173</f>
        <v>199.11106792280009</v>
      </c>
      <c r="H179" s="24">
        <f>Y173</f>
        <v>199.15906282399999</v>
      </c>
      <c r="J179" s="14" t="s">
        <v>79</v>
      </c>
      <c r="K179" s="11" t="s">
        <v>80</v>
      </c>
      <c r="L179" s="12" t="s">
        <v>81</v>
      </c>
      <c r="M179" s="8" t="s">
        <v>82</v>
      </c>
      <c r="N179" s="12" t="s">
        <v>83</v>
      </c>
      <c r="O179" s="11" t="s">
        <v>84</v>
      </c>
      <c r="P179" s="12" t="s">
        <v>85</v>
      </c>
      <c r="Q179" s="11" t="s">
        <v>86</v>
      </c>
      <c r="R179" s="13" t="s">
        <v>87</v>
      </c>
    </row>
    <row r="180" spans="3:18" ht="15" thickBot="1" x14ac:dyDescent="0.35">
      <c r="C180" s="25">
        <f>J173</f>
        <v>184.21162000000012</v>
      </c>
      <c r="D180" s="26">
        <f>S173</f>
        <v>199.63556543160001</v>
      </c>
      <c r="E180" s="26">
        <f>U173</f>
        <v>200.16677561200001</v>
      </c>
      <c r="F180" s="26">
        <f>V173</f>
        <v>199.11106792280009</v>
      </c>
      <c r="G180" s="26">
        <f>O173</f>
        <v>199.62825916440002</v>
      </c>
      <c r="H180" s="27">
        <f>Z173</f>
        <v>199.6766258959999</v>
      </c>
      <c r="J180" s="47">
        <f>AD173</f>
        <v>2.6255608377002229E-3</v>
      </c>
      <c r="K180" s="18">
        <f>AE173</f>
        <v>2.021193652941173E-2</v>
      </c>
      <c r="L180" s="6">
        <f>SQRT(J180/COUNTA(B3:B172))</f>
        <v>3.92994599401616E-3</v>
      </c>
      <c r="M180" s="49">
        <f>1-(J180/K180)</f>
        <v>0.87009850175021108</v>
      </c>
      <c r="N180" s="26">
        <f>SQRT(M180)</f>
        <v>0.93279070629493899</v>
      </c>
      <c r="O180" s="10">
        <f>1-((J180/K180)*(COUNTA(C3:C172)-1)/(COUNTA(C3:C172)-4-1))</f>
        <v>0.86694937451991316</v>
      </c>
      <c r="P180" s="31">
        <f>J180/COUNTA(B3:B172)</f>
        <v>1.5444475515883664E-5</v>
      </c>
      <c r="Q180" s="10">
        <f>SQRT(J180/COUNTA(C3:C172))</f>
        <v>3.92994599401616E-3</v>
      </c>
      <c r="R180" s="7">
        <f>AH173/COUNTA(C3:C172)</f>
        <v>0.27130264080963079</v>
      </c>
    </row>
    <row r="181" spans="3:18" ht="15" thickBot="1" x14ac:dyDescent="0.35">
      <c r="C181" s="34"/>
      <c r="H181" s="5"/>
      <c r="M181" s="48"/>
    </row>
    <row r="182" spans="3:18" ht="15" thickBot="1" x14ac:dyDescent="0.35">
      <c r="C182" s="19">
        <f t="shared" ref="C182:H182" si="26">C176</f>
        <v>170</v>
      </c>
      <c r="D182" s="20">
        <f t="shared" si="26"/>
        <v>184.21894000000012</v>
      </c>
      <c r="E182" s="20">
        <f t="shared" si="26"/>
        <v>184.70887999999988</v>
      </c>
      <c r="F182" s="20">
        <f t="shared" si="26"/>
        <v>183.73475999999994</v>
      </c>
      <c r="G182" s="20">
        <f t="shared" si="26"/>
        <v>184.21162000000012</v>
      </c>
      <c r="H182" s="21">
        <f t="shared" si="26"/>
        <v>184.25669999999997</v>
      </c>
      <c r="K182" s="78" t="s">
        <v>164</v>
      </c>
      <c r="L182" s="79"/>
      <c r="M182" s="79"/>
      <c r="N182" s="79"/>
      <c r="O182" s="80"/>
    </row>
    <row r="183" spans="3:18" ht="15" thickBot="1" x14ac:dyDescent="0.35">
      <c r="C183" s="22">
        <f t="shared" ref="C183:H183" si="27">C177-($I$183*C182)</f>
        <v>0</v>
      </c>
      <c r="D183" s="23">
        <f t="shared" si="27"/>
        <v>1.6094921884359792E-2</v>
      </c>
      <c r="E183" s="23">
        <f t="shared" si="27"/>
        <v>1.6225471604798258E-2</v>
      </c>
      <c r="F183" s="23">
        <f t="shared" si="27"/>
        <v>1.6025834221210289E-2</v>
      </c>
      <c r="G183" s="23">
        <f t="shared" si="27"/>
        <v>1.6333831112717689E-2</v>
      </c>
      <c r="H183" s="24">
        <f t="shared" si="27"/>
        <v>1.5116755188159914E-2</v>
      </c>
      <c r="I183" s="8">
        <f>C177/C176</f>
        <v>1.0836408235294124</v>
      </c>
      <c r="K183" s="11" t="s">
        <v>0</v>
      </c>
      <c r="L183" s="12" t="s">
        <v>1</v>
      </c>
      <c r="M183" s="11" t="s">
        <v>2</v>
      </c>
      <c r="N183" s="12" t="s">
        <v>3</v>
      </c>
      <c r="O183" s="11" t="s">
        <v>4</v>
      </c>
    </row>
    <row r="184" spans="3:18" x14ac:dyDescent="0.3">
      <c r="C184" s="22">
        <f t="shared" ref="C184:H184" si="28">C178-($I$184*C182)</f>
        <v>0</v>
      </c>
      <c r="D184" s="23">
        <f t="shared" si="28"/>
        <v>1.6225471604769837E-2</v>
      </c>
      <c r="E184" s="23">
        <f t="shared" si="28"/>
        <v>1.6507449844880284E-2</v>
      </c>
      <c r="F184" s="23">
        <f t="shared" si="28"/>
        <v>1.6216775501277425E-2</v>
      </c>
      <c r="G184" s="23">
        <f t="shared" si="28"/>
        <v>1.6646122672938191E-2</v>
      </c>
      <c r="H184" s="24">
        <f t="shared" si="28"/>
        <v>1.5761233788424533E-2</v>
      </c>
      <c r="I184" s="9">
        <f>C178/C176</f>
        <v>1.0865228235294111</v>
      </c>
      <c r="K184" s="40">
        <v>45606</v>
      </c>
      <c r="L184" s="1">
        <v>1.0936999999999999</v>
      </c>
      <c r="M184" s="9">
        <v>1.0932999999999999</v>
      </c>
      <c r="N184" s="1">
        <v>1.0953999999999999</v>
      </c>
      <c r="O184" s="9">
        <v>1.0926</v>
      </c>
    </row>
    <row r="185" spans="3:18" x14ac:dyDescent="0.3">
      <c r="C185" s="22">
        <f t="shared" ref="C185:H185" si="29">C179-($I$185*C182)</f>
        <v>0</v>
      </c>
      <c r="D185" s="23">
        <f t="shared" si="29"/>
        <v>1.6025834221181867E-2</v>
      </c>
      <c r="E185" s="23">
        <f t="shared" si="29"/>
        <v>1.6216775501305847E-2</v>
      </c>
      <c r="F185" s="23">
        <f t="shared" si="29"/>
        <v>1.6170940555184643E-2</v>
      </c>
      <c r="G185" s="23">
        <f t="shared" si="29"/>
        <v>1.6492688028250768E-2</v>
      </c>
      <c r="H185" s="24">
        <f t="shared" si="29"/>
        <v>1.5765454047169669E-2</v>
      </c>
      <c r="I185" s="9">
        <f>C179/C176</f>
        <v>1.0807927058823525</v>
      </c>
      <c r="K185" s="40">
        <v>45575</v>
      </c>
      <c r="L185" s="1">
        <v>1.0934999999999999</v>
      </c>
      <c r="M185" s="9">
        <v>1.0939000000000001</v>
      </c>
      <c r="N185" s="1">
        <v>1.0954999999999999</v>
      </c>
      <c r="O185" s="9">
        <v>1.0900000000000001</v>
      </c>
    </row>
    <row r="186" spans="3:18" ht="15" thickBot="1" x14ac:dyDescent="0.35">
      <c r="C186" s="25">
        <f t="shared" ref="C186:H186" si="30">C180-($I$186*C182)</f>
        <v>0</v>
      </c>
      <c r="D186" s="26">
        <f t="shared" si="30"/>
        <v>1.6333831112717689E-2</v>
      </c>
      <c r="E186" s="26">
        <f t="shared" si="30"/>
        <v>1.6646122672966612E-2</v>
      </c>
      <c r="F186" s="26">
        <f t="shared" si="30"/>
        <v>1.649268802827919E-2</v>
      </c>
      <c r="G186" s="26">
        <f t="shared" si="30"/>
        <v>1.695949955035303E-2</v>
      </c>
      <c r="H186" s="27">
        <f t="shared" si="30"/>
        <v>1.6477643917482965E-2</v>
      </c>
      <c r="I186" s="10">
        <f>C180/C176</f>
        <v>1.083597764705883</v>
      </c>
      <c r="K186" s="40">
        <v>45545</v>
      </c>
      <c r="L186" s="1">
        <v>1.0939000000000001</v>
      </c>
      <c r="M186" s="9">
        <v>1.0981000000000001</v>
      </c>
      <c r="N186" s="1">
        <v>1.0982000000000001</v>
      </c>
      <c r="O186" s="9">
        <v>1.0935999999999999</v>
      </c>
    </row>
    <row r="187" spans="3:18" ht="15" thickBot="1" x14ac:dyDescent="0.35">
      <c r="C187" s="34"/>
      <c r="H187" s="5"/>
      <c r="K187" s="40">
        <v>45514</v>
      </c>
      <c r="L187" s="1">
        <v>1.0980000000000001</v>
      </c>
      <c r="M187" s="9">
        <v>1.0975999999999999</v>
      </c>
      <c r="N187" s="1">
        <v>1.0998000000000001</v>
      </c>
      <c r="O187" s="9">
        <v>1.0961000000000001</v>
      </c>
    </row>
    <row r="188" spans="3:18" ht="15" thickBot="1" x14ac:dyDescent="0.35">
      <c r="C188" s="19">
        <f t="shared" ref="C188:H189" si="31">C182</f>
        <v>170</v>
      </c>
      <c r="D188" s="20">
        <f t="shared" si="31"/>
        <v>184.21894000000012</v>
      </c>
      <c r="E188" s="20">
        <f t="shared" si="31"/>
        <v>184.70887999999988</v>
      </c>
      <c r="F188" s="20">
        <f t="shared" si="31"/>
        <v>183.73475999999994</v>
      </c>
      <c r="G188" s="20">
        <f t="shared" si="31"/>
        <v>184.21162000000012</v>
      </c>
      <c r="H188" s="21">
        <f t="shared" si="31"/>
        <v>184.25669999999997</v>
      </c>
      <c r="K188" s="50">
        <v>45483</v>
      </c>
      <c r="L188" s="6">
        <v>1.0973999999999999</v>
      </c>
      <c r="M188" s="10">
        <v>1.0975999999999999</v>
      </c>
      <c r="N188" s="6">
        <v>1.0987</v>
      </c>
      <c r="O188" s="10">
        <v>1.0954999999999999</v>
      </c>
    </row>
    <row r="189" spans="3:18" ht="15" thickBot="1" x14ac:dyDescent="0.35">
      <c r="C189" s="22">
        <f t="shared" si="31"/>
        <v>0</v>
      </c>
      <c r="D189" s="23">
        <f t="shared" si="31"/>
        <v>1.6094921884359792E-2</v>
      </c>
      <c r="E189" s="23">
        <f t="shared" si="31"/>
        <v>1.6225471604798258E-2</v>
      </c>
      <c r="F189" s="23">
        <f t="shared" si="31"/>
        <v>1.6025834221210289E-2</v>
      </c>
      <c r="G189" s="23">
        <f t="shared" si="31"/>
        <v>1.6333831112717689E-2</v>
      </c>
      <c r="H189" s="24">
        <f t="shared" si="31"/>
        <v>1.5116755188159914E-2</v>
      </c>
      <c r="L189" s="14" t="s">
        <v>158</v>
      </c>
      <c r="M189" s="11" t="s">
        <v>159</v>
      </c>
      <c r="N189" s="11" t="s">
        <v>160</v>
      </c>
      <c r="O189" s="13" t="s">
        <v>157</v>
      </c>
    </row>
    <row r="190" spans="3:18" ht="15" thickBot="1" x14ac:dyDescent="0.35">
      <c r="C190" s="22">
        <f>C184</f>
        <v>0</v>
      </c>
      <c r="D190" s="23">
        <f>D184-($I$190*D189)</f>
        <v>0</v>
      </c>
      <c r="E190" s="23">
        <f>E184-($I$190*E189)</f>
        <v>1.5036959999375696E-4</v>
      </c>
      <c r="F190" s="23">
        <f>F184-($I$190*F189)</f>
        <v>6.0951946043105026E-5</v>
      </c>
      <c r="G190" s="23">
        <f>G184-($I$190*G189)</f>
        <v>1.7980399051925958E-4</v>
      </c>
      <c r="H190" s="24">
        <f>H184-($I$190*H189)</f>
        <v>5.2186302141927696E-4</v>
      </c>
      <c r="I190" s="8">
        <f>D184/D183</f>
        <v>1.0081112366588685</v>
      </c>
      <c r="L190" s="14">
        <f>AVERAGE(L184:L188)</f>
        <v>1.0952999999999999</v>
      </c>
      <c r="M190" s="11">
        <f t="shared" ref="M190:N190" si="32">AVERAGE(M184:M188)</f>
        <v>1.0960999999999999</v>
      </c>
      <c r="N190" s="11">
        <f t="shared" si="32"/>
        <v>1.0975200000000001</v>
      </c>
      <c r="O190" s="13">
        <f>AVERAGE(O184:O188)</f>
        <v>1.0935600000000001</v>
      </c>
    </row>
    <row r="191" spans="3:18" ht="15" thickBot="1" x14ac:dyDescent="0.35">
      <c r="C191" s="22">
        <f>C185</f>
        <v>0</v>
      </c>
      <c r="D191" s="23">
        <f>D185-($I$191*D189)</f>
        <v>0</v>
      </c>
      <c r="E191" s="23">
        <f>E185-($I$191*E189)</f>
        <v>6.0951946071880619E-5</v>
      </c>
      <c r="F191" s="23">
        <f>F185-($I$191*F189)</f>
        <v>2.1389743745253709E-4</v>
      </c>
      <c r="G191" s="23">
        <f>G185-($I$191*G189)</f>
        <v>2.2897009970560683E-4</v>
      </c>
      <c r="H191" s="24">
        <f>H185-($I$191*H189)</f>
        <v>7.135877288213955E-4</v>
      </c>
      <c r="I191" s="9">
        <f>D185/D183</f>
        <v>0.99570748689093913</v>
      </c>
      <c r="M191" s="74" t="s">
        <v>162</v>
      </c>
      <c r="N191" s="75"/>
    </row>
    <row r="192" spans="3:18" ht="15" thickBot="1" x14ac:dyDescent="0.35">
      <c r="C192" s="25">
        <f>C186</f>
        <v>0</v>
      </c>
      <c r="D192" s="26">
        <f>D186-($I$192*D189)</f>
        <v>0</v>
      </c>
      <c r="E192" s="26">
        <f>E186-($I$192*E189)</f>
        <v>1.798039905188363E-4</v>
      </c>
      <c r="F192" s="26">
        <f>F186-($I$192*F189)</f>
        <v>2.2897009970518356E-4</v>
      </c>
      <c r="G192" s="26">
        <f>G186-($I$192*G189)</f>
        <v>3.8321289698064337E-4</v>
      </c>
      <c r="H192" s="27">
        <f>H186-($I$192*H189)</f>
        <v>1.136499176939575E-3</v>
      </c>
      <c r="I192" s="10">
        <f>D186/D183</f>
        <v>1.0148437643919264</v>
      </c>
      <c r="M192" s="14" t="s">
        <v>161</v>
      </c>
      <c r="N192" s="11" t="s">
        <v>163</v>
      </c>
    </row>
    <row r="193" spans="3:14" ht="15" thickBot="1" x14ac:dyDescent="0.35">
      <c r="C193" s="34"/>
      <c r="H193" s="5"/>
      <c r="M193" s="28">
        <f>J177+(K177*M190)+(L177*N190)+(M177*O190)+(N177*L190)</f>
        <v>1.0930455365037515</v>
      </c>
      <c r="N193" s="10"/>
    </row>
    <row r="194" spans="3:14" x14ac:dyDescent="0.3">
      <c r="C194" s="19">
        <f t="shared" ref="C194:H196" si="33">C188</f>
        <v>170</v>
      </c>
      <c r="D194" s="20">
        <f t="shared" si="33"/>
        <v>184.21894000000012</v>
      </c>
      <c r="E194" s="20">
        <f t="shared" si="33"/>
        <v>184.70887999999988</v>
      </c>
      <c r="F194" s="20">
        <f t="shared" si="33"/>
        <v>183.73475999999994</v>
      </c>
      <c r="G194" s="20">
        <f t="shared" si="33"/>
        <v>184.21162000000012</v>
      </c>
      <c r="H194" s="21">
        <f t="shared" si="33"/>
        <v>184.25669999999997</v>
      </c>
    </row>
    <row r="195" spans="3:14" x14ac:dyDescent="0.3">
      <c r="C195" s="22">
        <f t="shared" si="33"/>
        <v>0</v>
      </c>
      <c r="D195" s="23">
        <f t="shared" si="33"/>
        <v>1.6094921884359792E-2</v>
      </c>
      <c r="E195" s="23">
        <f t="shared" si="33"/>
        <v>1.6225471604798258E-2</v>
      </c>
      <c r="F195" s="23">
        <f t="shared" si="33"/>
        <v>1.6025834221210289E-2</v>
      </c>
      <c r="G195" s="23">
        <f t="shared" si="33"/>
        <v>1.6333831112717689E-2</v>
      </c>
      <c r="H195" s="24">
        <f t="shared" si="33"/>
        <v>1.5116755188159914E-2</v>
      </c>
    </row>
    <row r="196" spans="3:14" ht="15" thickBot="1" x14ac:dyDescent="0.35">
      <c r="C196" s="22">
        <f t="shared" si="33"/>
        <v>0</v>
      </c>
      <c r="D196" s="23">
        <f t="shared" si="33"/>
        <v>0</v>
      </c>
      <c r="E196" s="23">
        <f t="shared" si="33"/>
        <v>1.5036959999375696E-4</v>
      </c>
      <c r="F196" s="23">
        <f t="shared" si="33"/>
        <v>6.0951946043105026E-5</v>
      </c>
      <c r="G196" s="23">
        <f t="shared" si="33"/>
        <v>1.7980399051925958E-4</v>
      </c>
      <c r="H196" s="24">
        <f t="shared" si="33"/>
        <v>5.2186302141927696E-4</v>
      </c>
    </row>
    <row r="197" spans="3:14" x14ac:dyDescent="0.3">
      <c r="C197" s="22">
        <f>C191</f>
        <v>0</v>
      </c>
      <c r="D197" s="23">
        <f>D191</f>
        <v>0</v>
      </c>
      <c r="E197" s="23">
        <f>E191-($I$197*E196)</f>
        <v>0</v>
      </c>
      <c r="F197" s="23">
        <f>F191-($I$197*F196)</f>
        <v>1.8919071662366104E-4</v>
      </c>
      <c r="G197" s="23">
        <f>G191-($I$197*G196)</f>
        <v>1.5608699611223517E-4</v>
      </c>
      <c r="H197" s="24">
        <f>H191-($I$197*H196)</f>
        <v>5.0205184164887472E-4</v>
      </c>
      <c r="I197" s="8">
        <f>E191/E190</f>
        <v>0.40534753084673514</v>
      </c>
    </row>
    <row r="198" spans="3:14" ht="15" thickBot="1" x14ac:dyDescent="0.35">
      <c r="C198" s="25">
        <f>C192</f>
        <v>0</v>
      </c>
      <c r="D198" s="26">
        <f>D192</f>
        <v>0</v>
      </c>
      <c r="E198" s="26">
        <f>E192-($I$198*E196)</f>
        <v>0</v>
      </c>
      <c r="F198" s="26">
        <f>F192-($I$198*F196)</f>
        <v>1.5608699614639182E-4</v>
      </c>
      <c r="G198" s="26">
        <f>G192-($I$198*G196)</f>
        <v>1.682128237749147E-4</v>
      </c>
      <c r="H198" s="27">
        <f>H192-($I$198*H196)</f>
        <v>5.1248306092078729E-4</v>
      </c>
      <c r="I198" s="10">
        <f>E192/E190</f>
        <v>1.1957469496913034</v>
      </c>
    </row>
    <row r="199" spans="3:14" ht="15" thickBot="1" x14ac:dyDescent="0.35">
      <c r="C199" s="34"/>
      <c r="H199" s="5"/>
    </row>
    <row r="200" spans="3:14" x14ac:dyDescent="0.3">
      <c r="C200" s="19">
        <f t="shared" ref="C200:H203" si="34">C194</f>
        <v>170</v>
      </c>
      <c r="D200" s="20">
        <f t="shared" si="34"/>
        <v>184.21894000000012</v>
      </c>
      <c r="E200" s="20">
        <f t="shared" si="34"/>
        <v>184.70887999999988</v>
      </c>
      <c r="F200" s="20">
        <f t="shared" si="34"/>
        <v>183.73475999999994</v>
      </c>
      <c r="G200" s="20">
        <f t="shared" si="34"/>
        <v>184.21162000000012</v>
      </c>
      <c r="H200" s="21">
        <f t="shared" si="34"/>
        <v>184.25669999999997</v>
      </c>
    </row>
    <row r="201" spans="3:14" x14ac:dyDescent="0.3">
      <c r="C201" s="22">
        <f t="shared" si="34"/>
        <v>0</v>
      </c>
      <c r="D201" s="23">
        <f t="shared" si="34"/>
        <v>1.6094921884359792E-2</v>
      </c>
      <c r="E201" s="23">
        <f t="shared" si="34"/>
        <v>1.6225471604798258E-2</v>
      </c>
      <c r="F201" s="23">
        <f t="shared" si="34"/>
        <v>1.6025834221210289E-2</v>
      </c>
      <c r="G201" s="23">
        <f t="shared" si="34"/>
        <v>1.6333831112717689E-2</v>
      </c>
      <c r="H201" s="24">
        <f t="shared" si="34"/>
        <v>1.5116755188159914E-2</v>
      </c>
    </row>
    <row r="202" spans="3:14" x14ac:dyDescent="0.3">
      <c r="C202" s="22">
        <f t="shared" si="34"/>
        <v>0</v>
      </c>
      <c r="D202" s="23">
        <f t="shared" si="34"/>
        <v>0</v>
      </c>
      <c r="E202" s="23">
        <f t="shared" si="34"/>
        <v>1.5036959999375696E-4</v>
      </c>
      <c r="F202" s="23">
        <f t="shared" si="34"/>
        <v>6.0951946043105026E-5</v>
      </c>
      <c r="G202" s="23">
        <f t="shared" si="34"/>
        <v>1.7980399051925958E-4</v>
      </c>
      <c r="H202" s="24">
        <f t="shared" si="34"/>
        <v>5.2186302141927696E-4</v>
      </c>
    </row>
    <row r="203" spans="3:14" ht="15" thickBot="1" x14ac:dyDescent="0.35">
      <c r="C203" s="22">
        <f t="shared" si="34"/>
        <v>0</v>
      </c>
      <c r="D203" s="23">
        <f t="shared" si="34"/>
        <v>0</v>
      </c>
      <c r="E203" s="23">
        <f t="shared" si="34"/>
        <v>0</v>
      </c>
      <c r="F203" s="23">
        <f t="shared" si="34"/>
        <v>1.8919071662366104E-4</v>
      </c>
      <c r="G203" s="23">
        <f t="shared" si="34"/>
        <v>1.5608699611223517E-4</v>
      </c>
      <c r="H203" s="24">
        <f t="shared" si="34"/>
        <v>5.0205184164887472E-4</v>
      </c>
    </row>
    <row r="204" spans="3:14" ht="15" thickBot="1" x14ac:dyDescent="0.35">
      <c r="C204" s="25">
        <f>C198</f>
        <v>0</v>
      </c>
      <c r="D204" s="26">
        <f>D198</f>
        <v>0</v>
      </c>
      <c r="E204" s="26">
        <f>E198</f>
        <v>0</v>
      </c>
      <c r="F204" s="26">
        <f>F198-($I$204*F203)</f>
        <v>0</v>
      </c>
      <c r="G204" s="26">
        <f>G198-($I$204*G203)</f>
        <v>3.9437211548995574E-5</v>
      </c>
      <c r="H204" s="27">
        <f>H198-($I$204*H203)</f>
        <v>9.8277938855425336E-5</v>
      </c>
      <c r="I204" s="11">
        <f>F198/F197</f>
        <v>0.82502460444124603</v>
      </c>
    </row>
    <row r="205" spans="3:14" ht="15" thickBot="1" x14ac:dyDescent="0.35">
      <c r="C205" s="34"/>
      <c r="H205" s="5"/>
    </row>
    <row r="206" spans="3:14" x14ac:dyDescent="0.3">
      <c r="C206" s="19">
        <f>C200/$I$206</f>
        <v>1</v>
      </c>
      <c r="D206" s="20">
        <f t="shared" ref="D206:H206" si="35">D200/$I$206</f>
        <v>1.0836408235294124</v>
      </c>
      <c r="E206" s="20">
        <f t="shared" si="35"/>
        <v>1.0865228235294111</v>
      </c>
      <c r="F206" s="20">
        <f t="shared" si="35"/>
        <v>1.0807927058823525</v>
      </c>
      <c r="G206" s="20">
        <f t="shared" si="35"/>
        <v>1.083597764705883</v>
      </c>
      <c r="H206" s="21">
        <f t="shared" si="35"/>
        <v>1.0838629411764704</v>
      </c>
      <c r="I206" s="35">
        <f>C200</f>
        <v>170</v>
      </c>
    </row>
    <row r="207" spans="3:14" x14ac:dyDescent="0.3">
      <c r="C207" s="22">
        <f>C201</f>
        <v>0</v>
      </c>
      <c r="D207" s="23">
        <f>D201/$I$207</f>
        <v>1</v>
      </c>
      <c r="E207" s="23">
        <f t="shared" ref="E207:H207" si="36">E201/$I$207</f>
        <v>1.0081112366606344</v>
      </c>
      <c r="F207" s="23">
        <f t="shared" si="36"/>
        <v>0.99570748689270505</v>
      </c>
      <c r="G207" s="23">
        <f t="shared" si="36"/>
        <v>1.0148437643919264</v>
      </c>
      <c r="H207" s="24">
        <f t="shared" si="36"/>
        <v>0.93922513552859122</v>
      </c>
      <c r="I207" s="36">
        <f>D201</f>
        <v>1.6094921884359792E-2</v>
      </c>
    </row>
    <row r="208" spans="3:14" x14ac:dyDescent="0.3">
      <c r="C208" s="22">
        <f>C202</f>
        <v>0</v>
      </c>
      <c r="D208" s="23">
        <f>D202</f>
        <v>0</v>
      </c>
      <c r="E208" s="23">
        <f>E202/$I$208</f>
        <v>1</v>
      </c>
      <c r="F208" s="23">
        <f t="shared" ref="F208:H208" si="37">F202/$I$208</f>
        <v>0.40534753065536938</v>
      </c>
      <c r="G208" s="23">
        <f t="shared" si="37"/>
        <v>1.1957469496941182</v>
      </c>
      <c r="H208" s="24">
        <f t="shared" si="37"/>
        <v>3.470535410355176</v>
      </c>
      <c r="I208" s="36">
        <f>E202</f>
        <v>1.5036959999375696E-4</v>
      </c>
    </row>
    <row r="209" spans="3:9" x14ac:dyDescent="0.3">
      <c r="C209" s="22">
        <f>C203</f>
        <v>0</v>
      </c>
      <c r="D209" s="23">
        <f>D203</f>
        <v>0</v>
      </c>
      <c r="E209" s="23">
        <f>E203</f>
        <v>0</v>
      </c>
      <c r="F209" s="23">
        <f>F203/$I$209</f>
        <v>1</v>
      </c>
      <c r="G209" s="23">
        <f t="shared" ref="G209:H209" si="38">G203/$I$209</f>
        <v>0.82502460426070523</v>
      </c>
      <c r="H209" s="24">
        <f t="shared" si="38"/>
        <v>2.6536811668595681</v>
      </c>
      <c r="I209" s="36">
        <f>F203</f>
        <v>1.8919071662366104E-4</v>
      </c>
    </row>
    <row r="210" spans="3:9" ht="15" thickBot="1" x14ac:dyDescent="0.35">
      <c r="C210" s="25">
        <f>C204</f>
        <v>0</v>
      </c>
      <c r="D210" s="26">
        <f>D204</f>
        <v>0</v>
      </c>
      <c r="E210" s="26">
        <f>E204</f>
        <v>0</v>
      </c>
      <c r="F210" s="26">
        <f>F204</f>
        <v>0</v>
      </c>
      <c r="G210" s="26">
        <f>G204/$I$210</f>
        <v>1</v>
      </c>
      <c r="H210" s="27">
        <f>H204/$I$210</f>
        <v>2.4920103373264069</v>
      </c>
      <c r="I210" s="33">
        <f>G204</f>
        <v>3.9437211548995574E-5</v>
      </c>
    </row>
  </sheetData>
  <mergeCells count="3">
    <mergeCell ref="M191:N191"/>
    <mergeCell ref="C175:H175"/>
    <mergeCell ref="K182:O1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DATAEURUSD</vt:lpstr>
      <vt:lpstr>x1x2EURUSD</vt:lpstr>
      <vt:lpstr>MLREURUSD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Winarto</dc:creator>
  <cp:lastModifiedBy>Aditya Winarto</cp:lastModifiedBy>
  <dcterms:created xsi:type="dcterms:W3CDTF">2024-10-11T02:33:44Z</dcterms:created>
  <dcterms:modified xsi:type="dcterms:W3CDTF">2024-10-14T13:54:51Z</dcterms:modified>
</cp:coreProperties>
</file>