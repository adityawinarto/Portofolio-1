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3\Sains Komputasi\tugas 5\"/>
    </mc:Choice>
  </mc:AlternateContent>
  <xr:revisionPtr revIDLastSave="0" documentId="13_ncr:1_{3D2F0747-A889-4E80-8B03-C5CF73600EA8}" xr6:coauthVersionLast="47" xr6:coauthVersionMax="47" xr10:uidLastSave="{00000000-0000-0000-0000-000000000000}"/>
  <bookViews>
    <workbookView xWindow="-108" yWindow="-108" windowWidth="23256" windowHeight="12456" activeTab="1" xr2:uid="{3F01F24E-8DA9-45EF-A4AE-B4268267FDF8}"/>
  </bookViews>
  <sheets>
    <sheet name="Least Square method" sheetId="1" r:id="rId1"/>
    <sheet name="Regresi Linier" sheetId="2" r:id="rId2"/>
  </sheets>
  <definedNames>
    <definedName name="_xlnm._FilterDatabase" localSheetId="0" hidden="1">'Least Square method'!$I$3:$I$29</definedName>
    <definedName name="_xlnm._FilterDatabase" localSheetId="1" hidden="1">'Regresi Linier'!$I$3:$I$29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U4" i="1"/>
  <c r="O4" i="1"/>
  <c r="S4" i="2"/>
  <c r="T4" i="2"/>
  <c r="L17" i="1"/>
  <c r="T4" i="1"/>
  <c r="L23" i="1" a="1"/>
  <c r="L23" i="1"/>
  <c r="L28" i="2" a="1"/>
  <c r="L28" i="2"/>
  <c r="R4" i="1"/>
  <c r="U5" i="1"/>
  <c r="S5" i="2"/>
  <c r="S6" i="2"/>
  <c r="S7" i="2"/>
  <c r="S8" i="2"/>
  <c r="S9" i="2"/>
  <c r="S10" i="2"/>
  <c r="S11" i="2"/>
  <c r="T11" i="2"/>
  <c r="S12" i="2"/>
  <c r="T12" i="2"/>
  <c r="S13" i="2"/>
  <c r="S14" i="2"/>
  <c r="T14" i="2"/>
  <c r="S15" i="2"/>
  <c r="T15" i="2"/>
  <c r="S16" i="2"/>
  <c r="T16" i="2"/>
  <c r="S17" i="2"/>
  <c r="T17" i="2"/>
  <c r="S18" i="2"/>
  <c r="S19" i="2"/>
  <c r="S20" i="2"/>
  <c r="S21" i="2"/>
  <c r="S22" i="2"/>
  <c r="S23" i="2"/>
  <c r="S24" i="2"/>
  <c r="S25" i="2"/>
  <c r="T25" i="2"/>
  <c r="S26" i="2"/>
  <c r="T26" i="2"/>
  <c r="S27" i="2"/>
  <c r="S28" i="2"/>
  <c r="T5" i="1"/>
  <c r="T8" i="2"/>
  <c r="T9" i="2"/>
  <c r="T20" i="2"/>
  <c r="T21" i="2"/>
  <c r="T27" i="2"/>
  <c r="T28" i="2"/>
  <c r="T5" i="2"/>
  <c r="T6" i="2"/>
  <c r="T7" i="2"/>
  <c r="T18" i="2"/>
  <c r="T19" i="2"/>
  <c r="T22" i="2"/>
  <c r="T23" i="2"/>
  <c r="T24" i="2"/>
  <c r="L22" i="2"/>
  <c r="L25" i="2"/>
  <c r="O20" i="2"/>
  <c r="Q24" i="2"/>
  <c r="P7" i="2"/>
  <c r="P27" i="2"/>
  <c r="Q4" i="1"/>
  <c r="M8" i="1"/>
  <c r="L8" i="1"/>
  <c r="O8" i="1"/>
  <c r="R8" i="1"/>
  <c r="E4" i="1"/>
  <c r="J28" i="2"/>
  <c r="E28" i="2"/>
  <c r="Q28" i="2"/>
  <c r="J27" i="2"/>
  <c r="E27" i="2"/>
  <c r="Q27" i="2"/>
  <c r="J26" i="2"/>
  <c r="E26" i="2"/>
  <c r="J25" i="2"/>
  <c r="E25" i="2"/>
  <c r="P25" i="2"/>
  <c r="J24" i="2"/>
  <c r="E24" i="2"/>
  <c r="P24" i="2"/>
  <c r="J23" i="2"/>
  <c r="E23" i="2"/>
  <c r="P23" i="2"/>
  <c r="J22" i="2"/>
  <c r="E22" i="2"/>
  <c r="P22" i="2"/>
  <c r="J21" i="2"/>
  <c r="E21" i="2"/>
  <c r="P21" i="2"/>
  <c r="J20" i="2"/>
  <c r="E20" i="2"/>
  <c r="J19" i="2"/>
  <c r="E19" i="2"/>
  <c r="P19" i="2"/>
  <c r="J18" i="2"/>
  <c r="E18" i="2"/>
  <c r="P18" i="2"/>
  <c r="J17" i="2"/>
  <c r="E17" i="2"/>
  <c r="Q17" i="2"/>
  <c r="J16" i="2"/>
  <c r="E16" i="2"/>
  <c r="Q16" i="2"/>
  <c r="J15" i="2"/>
  <c r="E15" i="2"/>
  <c r="Q15" i="2"/>
  <c r="J14" i="2"/>
  <c r="E14" i="2"/>
  <c r="J13" i="2"/>
  <c r="E13" i="2"/>
  <c r="P13" i="2"/>
  <c r="J12" i="2"/>
  <c r="E12" i="2"/>
  <c r="P12" i="2"/>
  <c r="J11" i="2"/>
  <c r="E11" i="2"/>
  <c r="P11" i="2"/>
  <c r="J10" i="2"/>
  <c r="E10" i="2"/>
  <c r="P10" i="2"/>
  <c r="J9" i="2"/>
  <c r="E9" i="2"/>
  <c r="P9" i="2"/>
  <c r="J8" i="2"/>
  <c r="E8" i="2"/>
  <c r="P8" i="2"/>
  <c r="J7" i="2"/>
  <c r="E7" i="2"/>
  <c r="J6" i="2"/>
  <c r="E6" i="2"/>
  <c r="P6" i="2"/>
  <c r="J5" i="2"/>
  <c r="E5" i="2"/>
  <c r="P5" i="2"/>
  <c r="M4" i="2"/>
  <c r="L4" i="2"/>
  <c r="J4" i="2"/>
  <c r="E4" i="2"/>
  <c r="M4" i="1"/>
  <c r="L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Q7" i="2"/>
  <c r="Q19" i="2"/>
  <c r="O14" i="2"/>
  <c r="Q4" i="2"/>
  <c r="Q12" i="2"/>
  <c r="O8" i="2"/>
  <c r="Q8" i="2"/>
  <c r="Q14" i="2"/>
  <c r="Q20" i="2"/>
  <c r="Q26" i="2"/>
  <c r="P26" i="2"/>
  <c r="Q18" i="2"/>
  <c r="P20" i="2"/>
  <c r="O4" i="2"/>
  <c r="P15" i="2"/>
  <c r="Q6" i="2"/>
  <c r="P14" i="2"/>
  <c r="Q13" i="2"/>
  <c r="Q25" i="2"/>
  <c r="Q5" i="2"/>
  <c r="Q23" i="2"/>
  <c r="Q11" i="2"/>
  <c r="Q22" i="2"/>
  <c r="Q10" i="2"/>
  <c r="P4" i="2"/>
  <c r="P17" i="2"/>
  <c r="Q21" i="2"/>
  <c r="Q9" i="2"/>
  <c r="P28" i="2"/>
  <c r="P16" i="2"/>
  <c r="O10" i="1"/>
  <c r="R10" i="1"/>
  <c r="O9" i="1"/>
  <c r="R9" i="1"/>
  <c r="O11" i="1"/>
  <c r="R11" i="1"/>
  <c r="O12" i="1"/>
  <c r="R12" i="1"/>
  <c r="O13" i="1"/>
  <c r="R13" i="1"/>
  <c r="O16" i="1"/>
  <c r="R16" i="1"/>
  <c r="O5" i="1"/>
  <c r="O6" i="1"/>
  <c r="R6" i="1"/>
  <c r="O7" i="1"/>
  <c r="R7" i="1"/>
  <c r="P15" i="1"/>
  <c r="O26" i="1"/>
  <c r="R26" i="1"/>
  <c r="T10" i="2"/>
  <c r="T13" i="2"/>
  <c r="O18" i="2"/>
  <c r="O6" i="2"/>
  <c r="L7" i="2"/>
  <c r="O10" i="2"/>
  <c r="Q5" i="1"/>
  <c r="R5" i="1"/>
  <c r="P10" i="1"/>
  <c r="P22" i="1"/>
  <c r="P6" i="1"/>
  <c r="P12" i="1"/>
  <c r="P24" i="1"/>
  <c r="P13" i="1"/>
  <c r="P25" i="1"/>
  <c r="P14" i="1"/>
  <c r="P19" i="1"/>
  <c r="P27" i="1"/>
  <c r="P9" i="1"/>
  <c r="P18" i="1"/>
  <c r="P16" i="1"/>
  <c r="P17" i="1"/>
  <c r="P23" i="1"/>
  <c r="P7" i="1"/>
  <c r="P20" i="1"/>
  <c r="P11" i="1"/>
  <c r="P4" i="1"/>
  <c r="P5" i="1"/>
  <c r="P26" i="1"/>
  <c r="Q26" i="1"/>
  <c r="P8" i="1"/>
  <c r="P21" i="1"/>
  <c r="P28" i="1"/>
  <c r="O14" i="1"/>
  <c r="R14" i="1"/>
  <c r="L14" i="1"/>
  <c r="O18" i="1"/>
  <c r="R18" i="1"/>
  <c r="O20" i="1"/>
  <c r="R20" i="1"/>
  <c r="O17" i="1"/>
  <c r="R17" i="1"/>
  <c r="O25" i="1"/>
  <c r="R25" i="1"/>
  <c r="O24" i="1"/>
  <c r="R24" i="1"/>
  <c r="O22" i="1"/>
  <c r="R22" i="1"/>
  <c r="O21" i="1"/>
  <c r="R21" i="1"/>
  <c r="O19" i="1"/>
  <c r="R19" i="1"/>
  <c r="O28" i="1"/>
  <c r="R28" i="1"/>
  <c r="O27" i="1"/>
  <c r="R27" i="1"/>
  <c r="O23" i="1"/>
  <c r="R23" i="1"/>
  <c r="O15" i="1"/>
  <c r="R15" i="1"/>
  <c r="L10" i="2"/>
  <c r="L13" i="2"/>
  <c r="O16" i="2"/>
  <c r="O12" i="2"/>
  <c r="Q9" i="1"/>
  <c r="Q14" i="1"/>
  <c r="Q25" i="1"/>
  <c r="Q17" i="1"/>
  <c r="Q20" i="1"/>
  <c r="Q16" i="1"/>
  <c r="Q10" i="1"/>
  <c r="Q18" i="1"/>
  <c r="Q21" i="1"/>
  <c r="Q12" i="1"/>
  <c r="Q7" i="1"/>
  <c r="Q22" i="1"/>
  <c r="Q11" i="1"/>
  <c r="Q24" i="1"/>
  <c r="Q23" i="1"/>
  <c r="Q27" i="1"/>
  <c r="Q13" i="1"/>
  <c r="Q6" i="1"/>
  <c r="Q28" i="1"/>
  <c r="Q19" i="1"/>
  <c r="Q8" i="1"/>
  <c r="Q15" i="1"/>
  <c r="L16" i="2"/>
  <c r="L19" i="2"/>
  <c r="L11" i="1"/>
  <c r="L20" i="1"/>
  <c r="T8" i="1"/>
  <c r="U8" i="1"/>
  <c r="T9" i="1"/>
  <c r="U9" i="1"/>
  <c r="T24" i="1"/>
  <c r="U24" i="1"/>
  <c r="T26" i="1"/>
  <c r="U26" i="1"/>
  <c r="T16" i="1"/>
  <c r="U16" i="1"/>
  <c r="T17" i="1"/>
  <c r="U17" i="1"/>
  <c r="T21" i="1"/>
  <c r="U21" i="1"/>
  <c r="T13" i="1"/>
  <c r="U13" i="1"/>
  <c r="T6" i="1"/>
  <c r="U6" i="1"/>
  <c r="T18" i="1"/>
  <c r="U18" i="1"/>
  <c r="T27" i="1"/>
  <c r="U27" i="1"/>
  <c r="T20" i="1"/>
  <c r="U20" i="1"/>
  <c r="T7" i="1"/>
  <c r="U7" i="1"/>
  <c r="T11" i="1"/>
  <c r="U11" i="1"/>
  <c r="T15" i="1"/>
  <c r="U15" i="1"/>
  <c r="T23" i="1"/>
  <c r="U23" i="1"/>
  <c r="T28" i="1"/>
  <c r="U28" i="1"/>
  <c r="T22" i="1"/>
  <c r="U22" i="1"/>
  <c r="T12" i="1"/>
  <c r="U12" i="1"/>
  <c r="T14" i="1"/>
  <c r="U14" i="1"/>
  <c r="T19" i="1"/>
  <c r="U19" i="1"/>
  <c r="T25" i="1"/>
  <c r="U25" i="1"/>
  <c r="T10" i="1"/>
  <c r="U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<sst xmlns="http://schemas.openxmlformats.org/spreadsheetml/2006/main" count="119" uniqueCount="55">
  <si>
    <t>Date</t>
  </si>
  <si>
    <t>Price</t>
  </si>
  <si>
    <t>Open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</si>
  <si>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</si>
  <si>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</si>
  <si>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</si>
  <si>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</si>
  <si>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</si>
  <si>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</si>
  <si>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</si>
  <si>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</si>
  <si>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</si>
  <si>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</si>
  <si>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</si>
  <si>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</si>
  <si>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</si>
  <si>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</si>
  <si>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EUR/USD</t>
  </si>
  <si>
    <t>GBP/USD</t>
  </si>
  <si>
    <t>x</t>
  </si>
  <si>
    <t>y</t>
  </si>
  <si>
    <t>x = price - open</t>
  </si>
  <si>
    <t>y = price - open</t>
  </si>
  <si>
    <t>Banyak data</t>
  </si>
  <si>
    <t>Rata rata</t>
  </si>
  <si>
    <t>m</t>
  </si>
  <si>
    <t>xi-xrata2</t>
  </si>
  <si>
    <t>yi-yrata2</t>
  </si>
  <si>
    <t>xi-xrata2 *yi-yrata2</t>
  </si>
  <si>
    <t>xi-xrata2 ^2</t>
  </si>
  <si>
    <t>∑xi-xrata2 *yi-yrata2</t>
  </si>
  <si>
    <t>∑xi-xrata2 ^2</t>
  </si>
  <si>
    <t>a</t>
  </si>
  <si>
    <t>∑y</t>
  </si>
  <si>
    <t>eror</t>
  </si>
  <si>
    <t>∑x</t>
  </si>
  <si>
    <t>∑xy</t>
  </si>
  <si>
    <t>∑x^2</t>
  </si>
  <si>
    <t>n∑x^2</t>
  </si>
  <si>
    <t>(∑x)^2</t>
  </si>
  <si>
    <r>
      <t>∑</t>
    </r>
    <r>
      <rPr>
        <sz val="13.2"/>
        <color theme="1"/>
        <rFont val="Calibri"/>
        <family val="2"/>
      </rPr>
      <t xml:space="preserve">y * </t>
    </r>
    <r>
      <rPr>
        <sz val="11"/>
        <color theme="1"/>
        <rFont val="Calibri"/>
        <family val="2"/>
      </rPr>
      <t>∑x^2</t>
    </r>
  </si>
  <si>
    <t>∑x *∑xy</t>
  </si>
  <si>
    <t>(∑y * ∑x^2) - ∑x *∑xy</t>
  </si>
  <si>
    <t>n(∑x^2) - (∑x)^2</t>
  </si>
  <si>
    <t>n(∑xy)</t>
  </si>
  <si>
    <t>n(∑x^2) -(∑x)^2</t>
  </si>
  <si>
    <t>b</t>
  </si>
  <si>
    <t>eror rata rata</t>
  </si>
  <si>
    <t xml:space="preserve">y prediksi </t>
  </si>
  <si>
    <t>y prediksi</t>
  </si>
  <si>
    <t>m(gradien)</t>
  </si>
  <si>
    <t>c(intersep)</t>
  </si>
  <si>
    <t>persentase korelasi</t>
  </si>
  <si>
    <t>∑x * ∑y</t>
  </si>
  <si>
    <t>n(∑xy) - ∑x  * ∑y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</si>
</sst>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"/>
    <numFmt numFmtId="165" formatCode="0.0000000000"/>
    <numFmt numFmtId="166" formatCode="0.000000000000"/>
    <numFmt numFmtId="167" formatCode="0.000000"/>
    <numFmt numFmtId="168" formatCode="0.000000000"/>
    <numFmt numFmtId="169" formatCode="0.000000000000000"/>
    <numFmt numFmtId="170" formatCode="0.000000000000000000"/>
    <numFmt numFmtId="171" formatCode="0.00000000000000000"/>
    <numFmt numFmtId="172" formatCode="0.00000000"/>
    <numFmt numFmtId="173" formatCode="0.00000000000"/>
    <numFmt numFmtId="174" formatCode="0.000"/>
    <numFmt numFmtId="175" formatCode="0.0000000"/>
    <numFmt numFmtId="176" formatCode="0.00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3.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7" fontId="0" fillId="0" borderId="15" xfId="0" applyNumberFormat="1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72" fontId="0" fillId="0" borderId="14" xfId="0" applyNumberFormat="1" applyBorder="1" applyAlignment="1">
      <alignment horizontal="center"/>
    </xf>
    <xf numFmtId="167" fontId="0" fillId="0" borderId="0" xfId="0" applyNumberFormat="1"/>
    <xf numFmtId="164" fontId="0" fillId="0" borderId="15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74" fontId="0" fillId="0" borderId="14" xfId="0" applyNumberFormat="1" applyBorder="1" applyAlignment="1">
      <alignment horizontal="center"/>
    </xf>
    <xf numFmtId="173" fontId="0" fillId="0" borderId="15" xfId="0" applyNumberFormat="1" applyBorder="1" applyAlignment="1">
      <alignment horizontal="center"/>
    </xf>
    <xf numFmtId="175" fontId="0" fillId="0" borderId="14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1" fontId="0" fillId="0" borderId="6" xfId="0" applyNumberFormat="1" applyBorder="1" applyAlignment="1">
      <alignment horizontal="center"/>
    </xf>
    <xf numFmtId="171" fontId="0" fillId="0" borderId="12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13" xfId="0" applyNumberFormat="1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70" fontId="0" fillId="0" borderId="10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69" fontId="0" fillId="0" borderId="12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173" fontId="0" fillId="0" borderId="9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17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8DE184-5454-3139-4E5E-01A464EC434C}"/>
            </a:ext>
          </a:extLst>
        </xdr:cNvPr>
        <xdr:cNvSpPr txBox="1"/>
      </xdr:nvSpPr>
      <xdr:spPr>
        <a:xfrm>
          <a:off x="5429250" y="161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7AA382-5B98-C10F-78FC-C1447DD6CB81}"/>
            </a:ext>
          </a:extLst>
        </xdr:cNvPr>
        <xdr:cNvSpPr txBox="1"/>
      </xdr:nvSpPr>
      <xdr:spPr>
        <a:xfrm>
          <a:off x="5429250" y="161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114300</xdr:colOff>
      <xdr:row>2</xdr:row>
      <xdr:rowOff>19050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1B9198-1606-2746-0AFD-E042A5E954E1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D17073-8637-A3C3-48D1-1D53B00BBCE1}"/>
            </a:ext>
          </a:extLst>
        </xdr:cNvPr>
        <xdr:cNvSpPr txBox="1"/>
      </xdr:nvSpPr>
      <xdr:spPr>
        <a:xfrm>
          <a:off x="5429250" y="161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D1AA014-167D-48D1-855A-75A0198AF205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398EFAF-62DF-49FF-ABB0-F7FE5E851FD9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0161CA3-34CD-4618-BCFB-8FD992429D0E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7097AAC-E2C7-46BE-BBB0-F14792805CBF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C41BF65-0F23-4C58-9671-13F9FE445A25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55E28EA-F5A4-4A94-96F7-18F6797C7D94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A05586B-37F4-43F6-99CC-0E0D8EC32BD1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7C7E2E4-1960-4E52-99D1-85C5E6DE7D8E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A7696E0-A88D-40C5-A7A8-E9A93E0A9D5A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184AFE6-BA78-41D4-A086-E6AB561F0AED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0A4C292-C3D0-4F1C-A85D-46FBE24B9C9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1748B4C-A2B0-4C7C-A259-8BC25B110597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EF278EE-74B5-493E-9580-C23A322895EE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1450F29-0B82-4B5A-B6B5-85546A2904E4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E6B9FAC-2A70-4E41-A435-728AB159F772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DBB6D48-896E-423E-87E9-DE67D3D0B67C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FCABB12-E367-421E-AC11-F1DA069F2106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33C707D-39FA-4B24-B2FD-47894613E0CA}"/>
            </a:ext>
          </a:extLst>
        </xdr:cNvPr>
        <xdr:cNvSpPr txBox="1"/>
      </xdr:nvSpPr>
      <xdr:spPr>
        <a:xfrm>
          <a:off x="903605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BE1CE73-FBB9-4EE2-99C6-575EAA01F1FA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531B1C0-15C0-439F-9395-C4994D86485C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1E28C86-41DE-4C3E-B492-9C7C1B80C70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AACD879-1C55-4DDD-9F19-9496072CEA5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F6241ED-1157-44BF-9B29-DEB8E01CB7FA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D186FCF-B2D1-42E4-A1B0-3C7D8BB88D98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1AA1592-2473-4F60-BBDA-E2462EFCC645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EBF1D0D-7793-49EC-80DD-33A402894009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FFC9652-A925-4414-9912-27192C36020D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685B58A-66C3-4C6E-B100-4FF112033D98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FAFDFBD-9039-4826-87F3-B1F49A317A8C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6D835D1-895E-41F8-886C-026E5801E875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E5338C2-E1DD-4810-8B8C-382B77A7B6C1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FC8BCD0-C6A6-4C23-A8E4-8A5E81DB9D07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A4D339E-B4B9-4661-9DF0-9A4729CD07F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B60B0AF-4AE3-4D95-9AA6-C25617B93FF9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081B2D3-425F-49ED-B1EC-C43DF9F6104C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BD02406-FC68-496A-AAF5-8E8C1F199DAD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9112B05-4E48-4E84-AB03-5A7B6A195E5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7FD115F-3EDF-4C25-A342-0BB980181707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1DCB2DB-ECB6-462F-9E56-9A0B19CF7DB2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8C40D68-C1BE-4AAC-A993-D27F31046084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E865A54-74C1-4E35-8146-2A3B867C9140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9A576E5-4A7E-46C3-9A10-EE8E5A2C4695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CB6AAA0-C84D-4251-AB1E-FC64FFFF41AC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3D594D3-AF90-4A03-829E-DDB9E559A935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F6CF741-442A-47E0-9F47-1D79DF145CCC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7011BB-E0FE-4DC8-86F9-28706A8FE207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BDE3A2A-DF67-4F7C-9039-A2C4A52E69A0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ECBF8C0-CF74-46C6-9A71-DA4D958B87BA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61A13F6-68CC-4B3D-847A-539ACB55BE47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66607A0-3EF5-4CC8-93C8-581A625D84E0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8EE29A9-34CB-4CDE-8C5D-5483FC07E1B2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BBE2B36-7306-4F3E-BF6A-D3E365D58F9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EE32BB6-F95F-4638-B089-B0E9CE09892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8A313A2-2B57-45F9-94C8-3AC3C640CDCF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F5D32BB-2B89-4281-A327-688AF24FA4F9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FA2A288-551D-43E1-B440-826787138C27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93AB59A-637F-42AF-B605-F079813AE964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DBB3E65-4F85-4148-B52B-FA8C1BFBC52F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E781A4F-C5F2-4624-B3BF-9E5162173F61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E78C49E-F97B-4251-A248-E73B2555F96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729A7D6-F847-41EE-85C4-DE78E41D2882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AB4E133-C8A9-4734-8141-4430C8958641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0666803-59ED-45AC-80F1-ABAB3EA80ECA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34205A2-48BA-48E1-A5AA-7C7BC90D679D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1149358-54F3-45E5-9111-C2539E8E95A8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70DD9340-B0CF-4657-9394-3C05023B1FF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2FC95A4-A7D9-4BC6-B4A4-3A6B33F97A93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D4140AD-17C5-4A51-9A0B-6CB8045C4437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653A9DA-59CA-43F0-ACAB-137216D67037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2325AA0-210C-4958-8FBB-6CE98761F29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7F5E7EB-15F8-4DEE-A2F8-32BC31D186FF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C08FAA3-7424-47F7-9820-4FA06BEC8636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A0671FC-216A-4BDF-A3C2-C74A1F277076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82B272A1-FB37-4DEE-A9DE-00488B4E0DAD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39F7E55-7D24-4F71-BBF1-484419897D1C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A494B86-BE00-4085-9313-8179D4D7B22A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26AFA22-B845-4C61-8E2F-5F1E3483894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40C2236-AB52-460E-BFBD-B8B9B245B1E9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B9418D5D-C555-4BE1-A33E-AAFA34EBB588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AB1FBC4-F0D0-4F99-B685-40E28E53F143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892E017-C368-49BD-B622-0C760572CCE6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ABD3554-DCD7-4BAF-BA6B-77EFA1DC7928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7CF3C056-07D4-45E3-903D-B05327F6E8D8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D4E82FC-FB4F-408F-9CCA-973EF31E0127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1D194DD5-660D-4B9C-9A10-7D807DF4A050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B1DA1EB-5A9F-4941-9653-941E945380E0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A87EE2B-4AED-4FD9-B089-39ABA0C58332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7E47C12-CDC1-484B-B399-21494E62C6BF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4D6623CF-8040-4171-81BF-F86B292C870A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509676C9-A99F-48F9-832C-6F991317B444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593C756-51D9-4E5A-AD48-88A45BA5520C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1E66EDF-C069-4F63-859B-D254F6CC723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1813CE0-8E34-4AD0-B16E-805984E104CD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B1B29F9-8AE4-4FA8-BDDE-439B0FC56553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D056CA9-88EB-44D5-A252-9F8FF25ADD48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DD5D16F8-0E17-45D1-8EB9-A5296CFDEA32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2150666-927F-4B23-B883-414BCF09395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CCDD9624-7197-4833-BC4D-C0CFED1C88BA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05CF1F3-730F-4E1C-A8A6-D0366059610A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BA12F04-FB77-4637-946A-C2A6DCC4424F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B67FAD9-40B9-4811-AF49-5A294BC392B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28658C68-975B-4ADB-B9A5-B5FDD1B42AC5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C0B18FE-CC14-4914-8F98-1C8BE296F77E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5FCF478-B1C1-4BC0-9057-CFF8FD4C49FB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860DD38-D295-46E8-848B-CA5BB78A3231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58726DF-43E1-4D0F-952A-6D016BAF2740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682D6F75-1D78-4DE6-9148-950AAF424C64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4AC7597-D220-4D7F-8DC6-133A4A8B7407}"/>
            </a:ext>
          </a:extLst>
        </xdr:cNvPr>
        <xdr:cNvSpPr txBox="1"/>
      </xdr:nvSpPr>
      <xdr:spPr>
        <a:xfrm>
          <a:off x="9036050" y="2254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D863CB6-BEC6-4424-B1A3-357D183FCD9E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8129507-55E8-4FDA-9459-7CA06201C775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E69CF10-F7F8-4560-92F5-A09D673356BD}"/>
            </a:ext>
          </a:extLst>
        </xdr:cNvPr>
        <xdr:cNvSpPr txBox="1"/>
      </xdr:nvSpPr>
      <xdr:spPr>
        <a:xfrm>
          <a:off x="9036050" y="2438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14685FE1-307F-4D9D-B422-99FDAE14EEFB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C772C61D-12E8-41D7-AFCE-C247C284EF1B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A368358-3305-4E76-A432-EF5B6D2D82A8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2BD8B9A7-98B6-4D17-A938-462B79FBEAC3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AA3326A-8CE6-4738-BDC3-D15C721EE4D6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2449292-F9A3-40B5-AE9E-02152FBE9555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4282C4BB-5930-4EF6-A4F9-5A5B2D2BDE43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27D8AA1D-5960-4743-B514-5D86E2EDF245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62D9AB4-A860-415E-A1A8-18E70D37A9EB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91BA8F0-754F-45AA-8EE6-8618B9D7E10B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851ED62-6665-4783-8425-5327947F6F7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0D87580-B8BF-4DB3-AD03-38554EDF7603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B8AA1E8-82A7-43FA-9C04-B0C1F171E4F9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C97D156-3888-4C1C-AFF0-37E9BE6BE536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F0010DA-7A1C-4EDC-8C19-6927E6D6F80D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6DCBFE55-091A-482A-BE5F-8FD19DB3E088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43618A44-F355-4962-8BED-F257AF897A1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E3F6791-706A-4282-B836-4AB8AC360086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B19B2B9-42B3-443E-AB87-1707BD0EA881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3FF559CF-8FD2-4E15-AE94-19F1966F431E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C90C370-A2F8-4550-B3FB-6EE44A55A66D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E4A45F9-7E31-4BD5-B363-C20407FB5DEB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6B9E047-4F3E-4D3A-96BB-4C1839EA3258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CED3AD7-3D36-4220-BA59-79665C84F2FB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18722FB2-06A4-47BD-80F5-F0A03EA60D5E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D27DE603-AADC-4C09-9EE3-1C24F36FAD0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0477A93-BA9A-44BE-A7FF-1526F1558F23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FC97D014-06FF-4844-AAF4-A1B6A7B6786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A1D85D66-F9E7-4E38-9181-0B696FB7FAA5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3056854D-3CAE-4B30-BCC2-45B6A535E979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CDD42FC-5253-4407-A30D-CEED3C97AEC2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FB9D8E7D-4A19-48DF-8169-CC78665D0631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C907BC17-4FCA-4937-A1F8-90677C8CECF4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8DD58C95-1FA3-4630-8E9A-AE56F90F2D7E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196FE64-4671-4B59-A508-44CCD0738EB9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13A481D5-BD91-4729-B3F0-35058A02A9B8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3B8FB212-8E85-43C3-AE6B-1EB685A780F8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41D61FD-6BED-45BC-A83D-AB3CEABFD546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823E813-57DF-461C-9840-0E1216C95A85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73D52E05-68D7-46E1-A672-9D7AC4778F1A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958F059-B07C-4C50-8675-4295573D1AB6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BD52775-361C-4B8B-81F0-B0A5E8FA9E0B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6A05C3F-8C6F-467B-A365-23713D933CF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A474854C-1A18-4C60-906B-D8DFB4BE266B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ADC8FA8E-64A3-4A7E-BBD9-44E38D9876B3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F3A0FDFD-B3D5-40F9-9530-93D16D4DC2D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D0DF1BAA-DA3E-411C-AF9D-AA1D6357708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5DA27D0-1754-494D-AAAF-E5218D767F74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9212A29-2371-4ACC-AA86-9B839E3B3705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2983B4D-86B5-4A8B-B439-73EB35F91688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5E7FC60-23C7-41F6-A368-073EFDA5E6C6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2BB1E60A-F0D3-4D79-80E7-B808E65617A2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4D7E2BC-F0A2-4078-8612-2B3C8731891A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5D1EC3FF-DA51-46F5-A70A-70877ECECD4F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ECAAAE0-A00D-458B-A9B3-52EE38A278EF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0E7B9A9-CD9C-4941-A0BA-F695EA54B142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8DAA2AA6-AEA6-47AC-B54C-67A13862DFE0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7076C986-D898-4B25-AE49-F0143A94C69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6646F32B-4748-4108-A0DC-09C1516DECC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18</xdr:row>
      <xdr:rowOff>19050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3D9582EA-EEB9-4BA9-AFE2-B4DC99F02CF6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1F2EABD-5303-4CBC-82A2-563DD469EA9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1190760C-E6F0-4EFD-B50E-DE460F9B103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E2E5C9C-552E-4174-B1D7-36BAE0F92B08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92A1F1D6-1369-4352-A8FD-37D03680775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47D72A08-B48F-40EB-BED6-A79064DCD6D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CD1C345-96B9-4738-97FF-51BD6B9AA45B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2142CF57-87E3-4045-8DB8-394889CC2EFB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0EA3B49-BE06-4D5C-9AD3-6C94969F443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563339A2-56BF-40E7-BB6B-6953FA71A075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4F52DD6F-1DA0-4F0A-9B22-D34D9D61BD5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EDE6FA6D-50A5-4F02-B54D-8C3E849CBE71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F62C8CDA-84DE-4E47-B18A-76290E753E45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FA7BAFDF-73DA-4F98-9DF5-5EB433454EA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DDA3CAC-E45C-4A95-A7AA-FF83858DFA19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5A7671D-C588-431B-89B4-9D0F696C0C2C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CBE0478-EDF5-452E-A06B-1DB1E6747BAD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856FEF6B-86CE-4BC0-A029-60FE5D029D7F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68DE1ECC-DD54-4DE3-A256-6E92AAA3C23D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8D67AE7-5311-4482-ABA9-FEEC5D6A6DB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DB70D9A7-9E97-4523-9A2D-C825E3AF1454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2FBCC3E7-AD76-46CF-8C05-25C8154996B0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6CAB5F19-F22F-4341-8439-D98BB8D7261C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FCF46C23-7A24-45D6-A8C0-57F25AFA8F3F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A6B642A0-80A4-42CB-AD56-27274CFECA48}"/>
            </a:ext>
          </a:extLst>
        </xdr:cNvPr>
        <xdr:cNvSpPr txBox="1"/>
      </xdr:nvSpPr>
      <xdr:spPr>
        <a:xfrm>
          <a:off x="903605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6BC171B7-B334-43C6-A946-F2546328AF41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414C0D6-108D-4243-A701-C37307DCA160}"/>
            </a:ext>
          </a:extLst>
        </xdr:cNvPr>
        <xdr:cNvSpPr txBox="1"/>
      </xdr:nvSpPr>
      <xdr:spPr>
        <a:xfrm>
          <a:off x="903605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1293F5-8DB1-4D2C-AB3E-8784BBB3A5E9}"/>
            </a:ext>
          </a:extLst>
        </xdr:cNvPr>
        <xdr:cNvSpPr txBox="1"/>
      </xdr:nvSpPr>
      <xdr:spPr>
        <a:xfrm>
          <a:off x="540766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F5F646-B0F6-4A6B-B402-ADFD7BFC9456}"/>
            </a:ext>
          </a:extLst>
        </xdr:cNvPr>
        <xdr:cNvSpPr txBox="1"/>
      </xdr:nvSpPr>
      <xdr:spPr>
        <a:xfrm>
          <a:off x="540766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114300</xdr:colOff>
      <xdr:row>2</xdr:row>
      <xdr:rowOff>19050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4707AF-B389-44D7-ABD0-83515B5D9E27}"/>
            </a:ext>
          </a:extLst>
        </xdr:cNvPr>
        <xdr:cNvSpPr txBox="1"/>
      </xdr:nvSpPr>
      <xdr:spPr>
        <a:xfrm>
          <a:off x="9014460" y="40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8</xdr:col>
      <xdr:colOff>393700</xdr:colOff>
      <xdr:row>3</xdr:row>
      <xdr:rowOff>120650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EE99EE-9FCE-4DE8-A5D7-ED44BB9418CC}"/>
            </a:ext>
          </a:extLst>
        </xdr:cNvPr>
        <xdr:cNvSpPr txBox="1"/>
      </xdr:nvSpPr>
      <xdr:spPr>
        <a:xfrm>
          <a:off x="540766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19C5C3-80DA-4495-9025-A8607CF719CE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BA4DE4-CBF1-43D3-906E-D67CA367321D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94761F0-24B5-4D55-8AF7-DB5EB1AB2C0E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D6E5EB-D2A6-4F5B-BBC2-85E20533403B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6539A3-AF35-40DF-8AB7-4A7F64B29D0C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C2CE37-A1BA-4F89-805D-B9D1DF95C79F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C0BC1F-76DA-4DD3-A1F1-D32460841824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4FDB47-9117-46C6-B221-F6585235BEF2}"/>
            </a:ext>
          </a:extLst>
        </xdr:cNvPr>
        <xdr:cNvSpPr txBox="1"/>
      </xdr:nvSpPr>
      <xdr:spPr>
        <a:xfrm>
          <a:off x="901446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E9FB2EB-099B-452A-AB8F-A381976F4A6C}"/>
            </a:ext>
          </a:extLst>
        </xdr:cNvPr>
        <xdr:cNvSpPr txBox="1"/>
      </xdr:nvSpPr>
      <xdr:spPr>
        <a:xfrm>
          <a:off x="901446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294B895-BB70-43F8-AFCF-0D885847C3DE}"/>
            </a:ext>
          </a:extLst>
        </xdr:cNvPr>
        <xdr:cNvSpPr txBox="1"/>
      </xdr:nvSpPr>
      <xdr:spPr>
        <a:xfrm>
          <a:off x="901446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89CEA90-955C-473A-A1AA-30708A318FD9}"/>
            </a:ext>
          </a:extLst>
        </xdr:cNvPr>
        <xdr:cNvSpPr txBox="1"/>
      </xdr:nvSpPr>
      <xdr:spPr>
        <a:xfrm>
          <a:off x="901446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3B9BF8-FA61-4709-B93E-6B12D3692342}"/>
            </a:ext>
          </a:extLst>
        </xdr:cNvPr>
        <xdr:cNvSpPr txBox="1"/>
      </xdr:nvSpPr>
      <xdr:spPr>
        <a:xfrm>
          <a:off x="901446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4</xdr:row>
      <xdr:rowOff>19050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FE89B10-14BB-4B4C-8FE7-16B7584AA054}"/>
            </a:ext>
          </a:extLst>
        </xdr:cNvPr>
        <xdr:cNvSpPr txBox="1"/>
      </xdr:nvSpPr>
      <xdr:spPr>
        <a:xfrm>
          <a:off x="901446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5</xdr:row>
      <xdr:rowOff>19050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60FDF-6315-44F3-9458-7B1585E7EFE9}"/>
            </a:ext>
          </a:extLst>
        </xdr:cNvPr>
        <xdr:cNvSpPr txBox="1"/>
      </xdr:nvSpPr>
      <xdr:spPr>
        <a:xfrm>
          <a:off x="9014460" y="116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40055BC-8ADA-4B77-AF47-01994A89F139}"/>
            </a:ext>
          </a:extLst>
        </xdr:cNvPr>
        <xdr:cNvSpPr txBox="1"/>
      </xdr:nvSpPr>
      <xdr:spPr>
        <a:xfrm>
          <a:off x="9014460" y="135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842F5F2-6384-4CB3-85B4-F1C256CB961F}"/>
            </a:ext>
          </a:extLst>
        </xdr:cNvPr>
        <xdr:cNvSpPr txBox="1"/>
      </xdr:nvSpPr>
      <xdr:spPr>
        <a:xfrm>
          <a:off x="9014460" y="135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7D2EA51-F82E-4C55-B9DE-9295B7231A9D}"/>
            </a:ext>
          </a:extLst>
        </xdr:cNvPr>
        <xdr:cNvSpPr txBox="1"/>
      </xdr:nvSpPr>
      <xdr:spPr>
        <a:xfrm>
          <a:off x="901446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F0E2F75-FD8A-4464-9D28-40895D2D7341}"/>
            </a:ext>
          </a:extLst>
        </xdr:cNvPr>
        <xdr:cNvSpPr txBox="1"/>
      </xdr:nvSpPr>
      <xdr:spPr>
        <a:xfrm>
          <a:off x="901446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A66C7F2-0489-4A6C-96A2-B43EF4012259}"/>
            </a:ext>
          </a:extLst>
        </xdr:cNvPr>
        <xdr:cNvSpPr txBox="1"/>
      </xdr:nvSpPr>
      <xdr:spPr>
        <a:xfrm>
          <a:off x="901446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AA60F0-EA22-424A-932B-F2456D8A5E45}"/>
            </a:ext>
          </a:extLst>
        </xdr:cNvPr>
        <xdr:cNvSpPr txBox="1"/>
      </xdr:nvSpPr>
      <xdr:spPr>
        <a:xfrm>
          <a:off x="9014460" y="173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3C85A4B-31B2-4C31-BE44-B9E6D2204226}"/>
            </a:ext>
          </a:extLst>
        </xdr:cNvPr>
        <xdr:cNvSpPr txBox="1"/>
      </xdr:nvSpPr>
      <xdr:spPr>
        <a:xfrm>
          <a:off x="9014460" y="173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91E9D0-7B37-4670-A497-7D7144D0881E}"/>
            </a:ext>
          </a:extLst>
        </xdr:cNvPr>
        <xdr:cNvSpPr txBox="1"/>
      </xdr:nvSpPr>
      <xdr:spPr>
        <a:xfrm>
          <a:off x="9014460" y="173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C355D36-D40E-46FE-81CE-AAF114E75B42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EB1683B-A44E-47BB-83D7-8D69F939F437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D572FF-2302-4B7D-ACE0-7917677C5E2D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D8F404B-86A8-46BC-874F-5A7BCF29A846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488B564-355D-4835-B049-925A85905EF8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B8473F7-3194-4308-B35B-562131813A8E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983D721-5E48-4DAA-9736-F28A270BEB23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02B7FCC-7574-4B94-9F17-496DCB997A39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288FD57-AF5A-4627-A832-014E7E7B752B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A93817A-8858-45C2-83AB-279E5B9E1EEF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8FBCB2A-9814-4514-BF97-284CF43D95B8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CC11C40-1787-4232-8BF0-2F89D79009F2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CA21C3-C16A-4D1C-91CE-D7739E7C112E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B71BCF7-70A1-41B1-9864-E0A2E33153EB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A60D1FC-16CB-4F64-8FAD-F7DC5731A542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6BE039-B8AE-4F86-8E4D-09FDBD2A46D5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6BE6728-9F36-4748-B34F-0A8F0DECA854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AB52ADB-D4D4-4AC8-9402-4129513C1D38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3D5130B-A3E4-43CD-8020-956CFBEE9A81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65A8C90-6201-4C8A-8FC6-E1D0287812F2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4A977D0-5469-4C7B-80D3-112F73A836C4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3B003DD-7834-4631-8ABC-DF9F0F6D75CA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942DACF-F958-4F8E-93F2-EDF020646911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3EB60D7-5407-4421-B0B7-3EA1DB142154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861AD32-F182-4803-B90F-BE025ADB3474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50CBD54-2AF5-425E-9358-EC5039534316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A9DB969-B3FE-4B3F-9A96-1E61DC9C9227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8E01E96-5884-4955-81CD-A9073A2267C9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7D9A193-C068-4274-BAB6-6843B4368B2C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CD7B1B-89A8-4C42-A3D5-A99C672FF732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DAD4CD1-D743-4903-B6C5-1BC06D75A64E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1270457-BF04-48FA-A373-CCF267F9B6C9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EF1FC76-155A-4515-B82D-64EDECFFE4FB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7610919-08AD-44CB-B8CA-237B8B448EFD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A03950C-9048-4606-8C26-65157010A236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3B74CBC-BB79-40D5-A0FE-78E775C200A6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8BFBC19-572F-4154-AB8C-7C2C607F3145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9946ECD-F2D4-4684-84D5-81AE9ADC74A4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6173786-16C1-47D0-A0FE-16C6F5258F7A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7462F19-6303-49E6-9BF8-B9DF3EC69D3D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54E8523-C338-4798-9016-91A239E8A565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9F03AB7-99C5-4D6F-9774-B2A7DB5EF799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726E193-AF93-4925-BB34-4F644241B463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A493ABE-C818-4373-BC5E-D4DBD8C3FBA1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9B2FB56-5682-4695-B990-2DF61F9163A8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07552D4-D2CC-498E-A5BC-FFB74B6F31F9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15650B-14FB-45E0-A9F0-4A40084E63D7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DF7C7E0-38B0-479E-B17E-BE95BF2B0344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49946B5-DB4E-401F-8C7A-277F7B84C909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1530012-B6DE-4A7A-995D-46BCAD62BB89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38DE060-BEC1-421B-8E2D-16E22AF1663E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11A26F0-163B-48D8-AEEE-BF7AF40128BE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5189F94-0306-4110-81D0-4B77EF0FA142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F065946-E707-4A9D-AAF6-5FC5BC2F63ED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F0C3F56-4074-44DA-B0E0-52143A62ED99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AF5A522-9FC7-41E6-A39E-F799FF6BBC36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8E99B39-2AF1-4BB7-8074-853AF9AF296F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3C085AC-91C4-480A-91A2-62D7D4D7FE7D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F35145B-2762-49AF-80A0-4FCA76592002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6EBA38D-16BB-4C37-9E44-482AE107A80B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417ED4B-1C5E-40A1-B9C5-1DC11F5617E2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62B3C7-E35E-487D-A1D2-D69BE83060CF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B37BECE-8F86-4654-99C6-0403B2F75456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D5BC33E-7A48-4FEB-98D2-AFFD4E1163EB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6E14BB5-0673-4BF8-9692-24FE054CEE81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C581B79-7670-4E2F-BEA1-DE514E59AEF4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F2AAFB2-B2B6-496C-B2A4-CCB84C286BB7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F418666-FDA5-439F-B490-0DAFBDA90DBC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5936352-4E52-4DC8-AD24-CB6B52DDAA42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FDB3EC0-A5CD-4D73-9A98-80C03E13DCDF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97BB2D2-D001-427D-A4E6-B9FFE0FBA085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FBB40EF-6CA1-4E9B-9376-2CE4BC0AF6C3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CBDA77F-D4DB-4A35-A51A-B97F9241A640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E7BDA3A-40E0-4499-9D67-03C08DEA722D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063CAC8-DD27-4EDE-BD60-B64B91908DD3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304156D-2AE4-420B-95DA-62C1E5603942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CA016E8-3242-44CD-BBD3-C063EEC998FC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FC18EF3-88F8-4DBF-8742-639ADABCB5A6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6E218A8-26F2-4E1C-8BFE-BA93ADABD18D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68DD3E5-287E-476F-8D92-93E79128A5CE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DADC254-2D23-431E-8C83-9853AF73B8BE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77A6CB9-019B-49BC-B1B1-C34B99B42DAA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C501F64-DE7D-4083-A8F9-8819660724D3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88A633B-25DD-4986-9216-2FFC6120CF5D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BF0CF31-2C9B-4FDE-A899-402116DD8EC6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0FA74B6-0743-47DF-82BE-4E23B690D345}"/>
            </a:ext>
          </a:extLst>
        </xdr:cNvPr>
        <xdr:cNvSpPr txBox="1"/>
      </xdr:nvSpPr>
      <xdr:spPr>
        <a:xfrm>
          <a:off x="9014460" y="5109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FE65C25-C2AA-44B0-BB2E-AB0B6FE15BA8}"/>
            </a:ext>
          </a:extLst>
        </xdr:cNvPr>
        <xdr:cNvSpPr txBox="1"/>
      </xdr:nvSpPr>
      <xdr:spPr>
        <a:xfrm>
          <a:off x="9014460" y="5109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EA63E43-36E3-49D9-BDA0-239F3FE6E8A6}"/>
            </a:ext>
          </a:extLst>
        </xdr:cNvPr>
        <xdr:cNvSpPr txBox="1"/>
      </xdr:nvSpPr>
      <xdr:spPr>
        <a:xfrm>
          <a:off x="9014460" y="5109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D1185C-061B-442A-9145-8CDD83BC0B53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40C6E77-CD3A-4849-865F-B255D4BD6CAD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A3675C1-3160-4F43-837C-ABD65CA814F7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434724C-B8B0-43E9-9466-0BE07B1D8B5A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91669DC-83E1-4C2E-B5ED-6F16EEE9A013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AE1566E-773E-44EB-B314-7AF671D92D3D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18A6638-B1EE-4C2A-A825-0CC8C4DD399E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7262743-1BBA-4FAE-913E-20881C241C26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174A596-B73E-405B-9B53-5CC0FE5A4775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DA3997F-A64B-41EA-84BE-23B55A273585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E44BEC0-5253-4860-841D-1D212F790D37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2CB97C8-2CB9-4F57-B2CA-89442DC4086A}"/>
            </a:ext>
          </a:extLst>
        </xdr:cNvPr>
        <xdr:cNvSpPr txBox="1"/>
      </xdr:nvSpPr>
      <xdr:spPr>
        <a:xfrm>
          <a:off x="901446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1197B9F1-8DCB-4DDD-8606-2BA338556AB7}"/>
            </a:ext>
          </a:extLst>
        </xdr:cNvPr>
        <xdr:cNvSpPr txBox="1"/>
      </xdr:nvSpPr>
      <xdr:spPr>
        <a:xfrm>
          <a:off x="901446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443AE99-D55F-4317-80BE-DCC20923CCD0}"/>
            </a:ext>
          </a:extLst>
        </xdr:cNvPr>
        <xdr:cNvSpPr txBox="1"/>
      </xdr:nvSpPr>
      <xdr:spPr>
        <a:xfrm>
          <a:off x="901446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3</xdr:row>
      <xdr:rowOff>19050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C8ED83B-D1B4-4ECD-A446-B62A5902C348}"/>
            </a:ext>
          </a:extLst>
        </xdr:cNvPr>
        <xdr:cNvSpPr txBox="1"/>
      </xdr:nvSpPr>
      <xdr:spPr>
        <a:xfrm>
          <a:off x="9014460" y="781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8DEB5C1-1493-47DC-912E-8023D046EE10}"/>
            </a:ext>
          </a:extLst>
        </xdr:cNvPr>
        <xdr:cNvSpPr txBox="1"/>
      </xdr:nvSpPr>
      <xdr:spPr>
        <a:xfrm>
          <a:off x="9014460" y="135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6</xdr:row>
      <xdr:rowOff>19050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F4E1E18-7F1A-44F8-A1C2-BC2808FB8411}"/>
            </a:ext>
          </a:extLst>
        </xdr:cNvPr>
        <xdr:cNvSpPr txBox="1"/>
      </xdr:nvSpPr>
      <xdr:spPr>
        <a:xfrm>
          <a:off x="9014460" y="135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17</xdr:col>
      <xdr:colOff>336615</xdr:colOff>
      <xdr:row>5</xdr:row>
      <xdr:rowOff>197627</xdr:rowOff>
    </xdr:from>
    <xdr:ext cx="888935" cy="1948673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D426386-1486-4D1F-9ABA-6BE07725C0A0}"/>
            </a:ext>
          </a:extLst>
        </xdr:cNvPr>
        <xdr:cNvSpPr txBox="1"/>
      </xdr:nvSpPr>
      <xdr:spPr>
        <a:xfrm flipH="1" flipV="1">
          <a:off x="12477815" y="1143777"/>
          <a:ext cx="888935" cy="19486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170BADD7-5E0F-435C-B00C-1FDA57CE2B0E}"/>
            </a:ext>
          </a:extLst>
        </xdr:cNvPr>
        <xdr:cNvSpPr txBox="1"/>
      </xdr:nvSpPr>
      <xdr:spPr>
        <a:xfrm>
          <a:off x="901446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7</xdr:row>
      <xdr:rowOff>19050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252A90E-B2A5-42CF-97F2-675483B3DBC0}"/>
            </a:ext>
          </a:extLst>
        </xdr:cNvPr>
        <xdr:cNvSpPr txBox="1"/>
      </xdr:nvSpPr>
      <xdr:spPr>
        <a:xfrm>
          <a:off x="9017000" y="15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D24D920-9C80-448F-A858-5447EF8C1A2C}"/>
            </a:ext>
          </a:extLst>
        </xdr:cNvPr>
        <xdr:cNvSpPr txBox="1"/>
      </xdr:nvSpPr>
      <xdr:spPr>
        <a:xfrm>
          <a:off x="9014460" y="173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8</xdr:row>
      <xdr:rowOff>19050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B509C37-5AFB-4501-B4AE-2A4EE7D82A20}"/>
            </a:ext>
          </a:extLst>
        </xdr:cNvPr>
        <xdr:cNvSpPr txBox="1"/>
      </xdr:nvSpPr>
      <xdr:spPr>
        <a:xfrm>
          <a:off x="9014460" y="173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86E02D7-D92D-449F-8055-888F108F3B00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2507E01-EF18-42B1-BCB7-8E368006FF0F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9</xdr:row>
      <xdr:rowOff>19050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974CF09-B811-41CE-8E33-571856121813}"/>
            </a:ext>
          </a:extLst>
        </xdr:cNvPr>
        <xdr:cNvSpPr txBox="1"/>
      </xdr:nvSpPr>
      <xdr:spPr>
        <a:xfrm>
          <a:off x="9014460" y="192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3BB20148-4E6E-4DAE-ACEE-4A7C20E0729B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10</xdr:row>
      <xdr:rowOff>19050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34434D1-C040-42BD-BDAD-C193D1817B6D}"/>
            </a:ext>
          </a:extLst>
        </xdr:cNvPr>
        <xdr:cNvSpPr txBox="1"/>
      </xdr:nvSpPr>
      <xdr:spPr>
        <a:xfrm>
          <a:off x="901446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3FACCF47-58A8-47AA-B533-DF199B7A2467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11</xdr:row>
      <xdr:rowOff>19050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3C61E8C-DA83-4A75-8614-0CD9E33A4310}"/>
            </a:ext>
          </a:extLst>
        </xdr:cNvPr>
        <xdr:cNvSpPr txBox="1"/>
      </xdr:nvSpPr>
      <xdr:spPr>
        <a:xfrm>
          <a:off x="901446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0D1A33B-8818-4B0C-BFD6-CE85F2735FE1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F88CFF60-E77A-4FE0-AD49-E082EEA1FBF4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12</xdr:row>
      <xdr:rowOff>19050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C91BE446-0EA3-4973-876A-AB4799D1750D}"/>
            </a:ext>
          </a:extLst>
        </xdr:cNvPr>
        <xdr:cNvSpPr txBox="1"/>
      </xdr:nvSpPr>
      <xdr:spPr>
        <a:xfrm>
          <a:off x="9014460" y="249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13</xdr:row>
      <xdr:rowOff>19050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25A52022-262E-4FDA-9C2D-E25EA1D25967}"/>
            </a:ext>
          </a:extLst>
        </xdr:cNvPr>
        <xdr:cNvSpPr txBox="1"/>
      </xdr:nvSpPr>
      <xdr:spPr>
        <a:xfrm>
          <a:off x="9014460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17</xdr:col>
      <xdr:colOff>819150</xdr:colOff>
      <xdr:row>14</xdr:row>
      <xdr:rowOff>69850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72E41ED-13B9-469A-88F8-3AACA6563D04}"/>
            </a:ext>
          </a:extLst>
        </xdr:cNvPr>
        <xdr:cNvSpPr txBox="1"/>
      </xdr:nvSpPr>
      <xdr:spPr>
        <a:xfrm>
          <a:off x="12960350" y="274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14</xdr:row>
      <xdr:rowOff>19050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3D918717-4A44-4DCC-8E1C-78089D1C47E9}"/>
            </a:ext>
          </a:extLst>
        </xdr:cNvPr>
        <xdr:cNvSpPr txBox="1"/>
      </xdr:nvSpPr>
      <xdr:spPr>
        <a:xfrm>
          <a:off x="9014460" y="2876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17</xdr:col>
      <xdr:colOff>863600</xdr:colOff>
      <xdr:row>8</xdr:row>
      <xdr:rowOff>63500</xdr:rowOff>
    </xdr:from>
    <xdr:ext cx="1765365" cy="6421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41ACDE2-108F-4EFF-92CE-195904104869}"/>
            </a:ext>
          </a:extLst>
        </xdr:cNvPr>
        <xdr:cNvSpPr txBox="1"/>
      </xdr:nvSpPr>
      <xdr:spPr>
        <a:xfrm>
          <a:off x="13004800" y="1612900"/>
          <a:ext cx="1765365" cy="642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6D633E5-1F20-436D-B711-118CB213C940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15</xdr:row>
      <xdr:rowOff>19050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620A730C-2D88-4763-AE15-19A36ADC62E8}"/>
            </a:ext>
          </a:extLst>
        </xdr:cNvPr>
        <xdr:cNvSpPr txBox="1"/>
      </xdr:nvSpPr>
      <xdr:spPr>
        <a:xfrm>
          <a:off x="9014460" y="3067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A5219AD-0228-4722-ACCC-CA769FC30400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16</xdr:row>
      <xdr:rowOff>19050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58CF4A63-22D5-4B04-BF35-426A9D624FF0}"/>
            </a:ext>
          </a:extLst>
        </xdr:cNvPr>
        <xdr:cNvSpPr txBox="1"/>
      </xdr:nvSpPr>
      <xdr:spPr>
        <a:xfrm>
          <a:off x="9014460" y="3257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17</xdr:col>
      <xdr:colOff>838200</xdr:colOff>
      <xdr:row>16</xdr:row>
      <xdr:rowOff>25400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5B1F753-6DD6-4C29-B921-E8DF07BE9136}"/>
            </a:ext>
          </a:extLst>
        </xdr:cNvPr>
        <xdr:cNvSpPr txBox="1"/>
      </xdr:nvSpPr>
      <xdr:spPr>
        <a:xfrm>
          <a:off x="12979400" y="309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6BFC5BD-306C-4F79-8EDE-C7D69D78DD72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17</xdr:row>
      <xdr:rowOff>19050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D5843AF-F7A7-457B-B720-F4878225B658}"/>
            </a:ext>
          </a:extLst>
        </xdr:cNvPr>
        <xdr:cNvSpPr txBox="1"/>
      </xdr:nvSpPr>
      <xdr:spPr>
        <a:xfrm>
          <a:off x="9014460" y="34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17</xdr:col>
      <xdr:colOff>914400</xdr:colOff>
      <xdr:row>19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2EDBD4B-629B-4644-AAA9-CB03F02A4059}"/>
            </a:ext>
          </a:extLst>
        </xdr:cNvPr>
        <xdr:cNvSpPr txBox="1"/>
      </xdr:nvSpPr>
      <xdr:spPr>
        <a:xfrm>
          <a:off x="1305560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3CCF224-812F-4B67-8472-1026E03ED36B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19</xdr:row>
      <xdr:rowOff>19050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F47AC15-2B1A-4B87-99C0-395865CB62AB}"/>
            </a:ext>
          </a:extLst>
        </xdr:cNvPr>
        <xdr:cNvSpPr txBox="1"/>
      </xdr:nvSpPr>
      <xdr:spPr>
        <a:xfrm>
          <a:off x="9014460" y="3638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E0AA8E5-4AB7-4C7A-B662-9087914DD909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20</xdr:row>
      <xdr:rowOff>19050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F426CF-CB29-4A9C-9DF2-B49484FFFFD6}"/>
            </a:ext>
          </a:extLst>
        </xdr:cNvPr>
        <xdr:cNvSpPr txBox="1"/>
      </xdr:nvSpPr>
      <xdr:spPr>
        <a:xfrm>
          <a:off x="9014460" y="3829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621A0CA4-04C0-4A7E-A29D-0685C1DFEFDC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21</xdr:row>
      <xdr:rowOff>19050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6E035AA-388B-48A1-8D2D-2C6DFC407C0C}"/>
            </a:ext>
          </a:extLst>
        </xdr:cNvPr>
        <xdr:cNvSpPr txBox="1"/>
      </xdr:nvSpPr>
      <xdr:spPr>
        <a:xfrm>
          <a:off x="9014460" y="4011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555400C-E35F-4CD9-83C3-526B6B3FC9B4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BB78AD49-962E-449C-92FC-3BA4752F35BC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22</xdr:row>
      <xdr:rowOff>19050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F40C2CD8-6660-4415-A35A-201D98AA04E6}"/>
            </a:ext>
          </a:extLst>
        </xdr:cNvPr>
        <xdr:cNvSpPr txBox="1"/>
      </xdr:nvSpPr>
      <xdr:spPr>
        <a:xfrm>
          <a:off x="9014460" y="419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004EB3-56A1-4DAD-8954-6F691958EEC0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23</xdr:row>
      <xdr:rowOff>19050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BBAE69B7-2DCC-44F2-9076-A529F3D93696}"/>
            </a:ext>
          </a:extLst>
        </xdr:cNvPr>
        <xdr:cNvSpPr txBox="1"/>
      </xdr:nvSpPr>
      <xdr:spPr>
        <a:xfrm>
          <a:off x="9014460" y="4377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24</xdr:row>
      <xdr:rowOff>19050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F2A786A3-142B-44EB-BF7A-97EE901C4A31}"/>
            </a:ext>
          </a:extLst>
        </xdr:cNvPr>
        <xdr:cNvSpPr txBox="1"/>
      </xdr:nvSpPr>
      <xdr:spPr>
        <a:xfrm>
          <a:off x="9014460" y="4560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B2A42987-914A-4553-B23A-2D7FE7B2BD3C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A090D94-EEA9-429C-B826-EDD6D8B5117E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25</xdr:row>
      <xdr:rowOff>19050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C529F96-6641-490F-BA70-6BD7925F4426}"/>
            </a:ext>
          </a:extLst>
        </xdr:cNvPr>
        <xdr:cNvSpPr txBox="1"/>
      </xdr:nvSpPr>
      <xdr:spPr>
        <a:xfrm>
          <a:off x="9014460" y="4743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4668389-D0C7-43ED-8765-1DFFB5820272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A2909AA-62FE-4A9A-AFCA-E71A14152AD6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26</xdr:row>
      <xdr:rowOff>19050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54293B95-E1B5-484D-BAA6-AF0241A3D0A5}"/>
            </a:ext>
          </a:extLst>
        </xdr:cNvPr>
        <xdr:cNvSpPr txBox="1"/>
      </xdr:nvSpPr>
      <xdr:spPr>
        <a:xfrm>
          <a:off x="9014460" y="492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8EE8BC0-F9C2-4034-B13C-1F860BF2B87F}"/>
            </a:ext>
          </a:extLst>
        </xdr:cNvPr>
        <xdr:cNvSpPr txBox="1"/>
      </xdr:nvSpPr>
      <xdr:spPr>
        <a:xfrm>
          <a:off x="9014460" y="5109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  <xdr:oneCellAnchor>
    <xdr:from>
      <xdr:col>14</xdr:col>
      <xdr:colOff>114300</xdr:colOff>
      <xdr:row>27</xdr:row>
      <xdr:rowOff>19050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BAC6D9D2-157B-43B2-ABFC-E727126B935A}"/>
            </a:ext>
          </a:extLst>
        </xdr:cNvPr>
        <xdr:cNvSpPr txBox="1"/>
      </xdr:nvSpPr>
      <xdr:spPr>
        <a:xfrm>
          <a:off x="9014460" y="5109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C732-81F7-435A-BBFC-B395B308572F}">
  <dimension ref="B1:U39"/>
  <sheetViews>
    <sheetView zoomScale="120" zoomScaleNormal="120" workbookViewId="0">
      <selection activeCell="L28" sqref="L28"/>
    </sheetView>
  </sheetViews>
  <sheetFormatPr defaultRowHeight="14.4" x14ac:dyDescent="0.3"/>
  <cols>
    <col min="1" max="1" width="3.44140625" customWidth="1"/>
    <col min="2" max="2" width="11.88671875" style="2" customWidth="1"/>
    <col min="3" max="4" width="9.77734375" style="3" customWidth="1"/>
    <col min="5" max="5" width="13.6640625" style="3" customWidth="1"/>
    <col min="6" max="6" width="3.77734375" style="3" customWidth="1"/>
    <col min="7" max="7" width="11.88671875" style="2" customWidth="1"/>
    <col min="8" max="8" width="8.88671875" style="1"/>
    <col min="9" max="9" width="11.88671875" style="3" customWidth="1"/>
    <col min="10" max="10" width="13.6640625" style="3" customWidth="1"/>
    <col min="11" max="11" width="3.77734375" style="3" customWidth="1"/>
    <col min="12" max="13" width="11.88671875" style="3" customWidth="1"/>
    <col min="14" max="14" width="3.77734375" customWidth="1"/>
    <col min="15" max="16" width="12.77734375" style="21" customWidth="1"/>
    <col min="17" max="17" width="21.77734375" style="22" customWidth="1"/>
    <col min="18" max="18" width="17.77734375" style="22" customWidth="1"/>
    <col min="19" max="19" width="4.88671875" customWidth="1"/>
    <col min="20" max="20" width="25.77734375" style="32" customWidth="1"/>
    <col min="21" max="21" width="25.77734375" style="34" customWidth="1"/>
  </cols>
  <sheetData>
    <row r="1" spans="2:21" ht="15" thickBot="1" x14ac:dyDescent="0.35"/>
    <row r="2" spans="2:21" ht="15" thickBot="1" x14ac:dyDescent="0.35">
      <c r="B2" s="67" t="s">
        <v>17</v>
      </c>
      <c r="C2" s="68"/>
      <c r="D2" s="68"/>
      <c r="E2" s="69"/>
      <c r="F2"/>
      <c r="G2" s="67" t="s">
        <v>18</v>
      </c>
      <c r="H2" s="68"/>
      <c r="I2" s="68"/>
      <c r="J2" s="69"/>
      <c r="L2" s="70" t="s">
        <v>23</v>
      </c>
      <c r="M2" s="71"/>
      <c r="O2" s="56" t="s">
        <v>25</v>
      </c>
      <c r="P2" s="57"/>
      <c r="Q2" s="57"/>
      <c r="R2" s="58"/>
    </row>
    <row r="3" spans="2:21" ht="15" thickBot="1" x14ac:dyDescent="0.35">
      <c r="B3" s="7" t="s">
        <v>0</v>
      </c>
      <c r="C3" s="8" t="s">
        <v>1</v>
      </c>
      <c r="D3" s="13" t="s">
        <v>2</v>
      </c>
      <c r="E3" s="8" t="s">
        <v>21</v>
      </c>
      <c r="G3" s="12" t="s">
        <v>0</v>
      </c>
      <c r="H3" s="10" t="s">
        <v>1</v>
      </c>
      <c r="I3" s="10" t="s">
        <v>2</v>
      </c>
      <c r="J3" s="8" t="s">
        <v>22</v>
      </c>
      <c r="K3"/>
      <c r="L3" s="18" t="s">
        <v>17</v>
      </c>
      <c r="M3" s="8" t="s">
        <v>18</v>
      </c>
      <c r="O3" s="25" t="s">
        <v>26</v>
      </c>
      <c r="P3" s="24" t="s">
        <v>27</v>
      </c>
      <c r="Q3" s="28" t="s">
        <v>28</v>
      </c>
      <c r="R3" s="28" t="s">
        <v>29</v>
      </c>
      <c r="T3" s="52" t="s">
        <v>48</v>
      </c>
      <c r="U3" s="51" t="s">
        <v>34</v>
      </c>
    </row>
    <row r="4" spans="2:21" ht="15" thickBot="1" x14ac:dyDescent="0.35">
      <c r="B4" s="5">
        <v>45605</v>
      </c>
      <c r="C4" s="9">
        <v>1.1011</v>
      </c>
      <c r="D4" s="14">
        <v>1.1019000000000001</v>
      </c>
      <c r="E4" s="9">
        <f>C4-D4</f>
        <v>-8.0000000000013394E-4</v>
      </c>
      <c r="G4" s="16">
        <v>45605</v>
      </c>
      <c r="H4" s="9">
        <v>1.3043</v>
      </c>
      <c r="I4" s="9">
        <v>1.3080000000000001</v>
      </c>
      <c r="J4" s="9">
        <f t="shared" ref="J4:J28" si="0">H4-I4</f>
        <v>-3.7000000000000366E-3</v>
      </c>
      <c r="K4"/>
      <c r="L4" s="19">
        <f>COUNTA(B4:B28)</f>
        <v>25</v>
      </c>
      <c r="M4" s="20">
        <f>COUNTA(G4:G28)</f>
        <v>25</v>
      </c>
      <c r="O4" s="26">
        <f>(E4-L$8)</f>
        <v>-1.1880000000001267E-3</v>
      </c>
      <c r="P4" s="21">
        <f t="shared" ref="P4:P28" si="1">J4-M$8</f>
        <v>-4.98000000000002E-3</v>
      </c>
      <c r="Q4" s="29">
        <f>O4*P4</f>
        <v>5.9162400000006544E-6</v>
      </c>
      <c r="R4" s="47">
        <f>O4*O4</f>
        <v>1.411344000000301E-6</v>
      </c>
      <c r="T4" s="53">
        <f>(L$17*E4) + L$20</f>
        <v>3.6837335555130841E-5</v>
      </c>
      <c r="U4" s="50">
        <f>J4-T4</f>
        <v>-3.7368373355551677E-3</v>
      </c>
    </row>
    <row r="5" spans="2:21" ht="15" thickBot="1" x14ac:dyDescent="0.35">
      <c r="B5" s="5">
        <v>45574</v>
      </c>
      <c r="C5" s="9">
        <v>1.1019000000000001</v>
      </c>
      <c r="D5" s="14">
        <v>1.1034999999999999</v>
      </c>
      <c r="E5" s="9">
        <f t="shared" ref="E5:E28" si="2">C5-D5</f>
        <v>-1.5999999999998238E-3</v>
      </c>
      <c r="G5" s="16">
        <v>45574</v>
      </c>
      <c r="H5" s="9">
        <v>1.3079000000000001</v>
      </c>
      <c r="I5" s="9">
        <v>1.3073999999999999</v>
      </c>
      <c r="J5" s="9">
        <f t="shared" si="0"/>
        <v>5.0000000000016698E-4</v>
      </c>
      <c r="K5"/>
      <c r="L5" s="1"/>
      <c r="M5" s="1"/>
      <c r="O5" s="26">
        <f t="shared" ref="O5:O13" si="3">(E5-L$8)</f>
        <v>-1.9879999999998167E-3</v>
      </c>
      <c r="P5" s="21">
        <f t="shared" si="1"/>
        <v>-7.7999999999981643E-4</v>
      </c>
      <c r="Q5" s="29">
        <f>O5*P5</f>
        <v>1.5506399999994921E-6</v>
      </c>
      <c r="R5" s="47">
        <f>O5*O5</f>
        <v>3.9521439999992717E-6</v>
      </c>
      <c r="T5" s="53">
        <f>(L$17*E5) + L$20</f>
        <v>-8.0030923982819444E-4</v>
      </c>
      <c r="U5" s="50">
        <f>J5-T5</f>
        <v>1.3003092398283615E-3</v>
      </c>
    </row>
    <row r="6" spans="2:21" ht="15" thickBot="1" x14ac:dyDescent="0.35">
      <c r="B6" s="5">
        <v>45544</v>
      </c>
      <c r="C6" s="9">
        <v>1.1033999999999999</v>
      </c>
      <c r="D6" s="14">
        <v>1.1082000000000001</v>
      </c>
      <c r="E6" s="9">
        <f t="shared" si="2"/>
        <v>-4.8000000000001375E-3</v>
      </c>
      <c r="G6" s="16">
        <v>45544</v>
      </c>
      <c r="H6" s="9">
        <v>1.3071999999999999</v>
      </c>
      <c r="I6" s="9">
        <v>1.3118000000000001</v>
      </c>
      <c r="J6" s="9">
        <f t="shared" si="0"/>
        <v>-4.6000000000001595E-3</v>
      </c>
      <c r="K6"/>
      <c r="L6" s="59" t="s">
        <v>24</v>
      </c>
      <c r="M6" s="60"/>
      <c r="O6" s="26">
        <f t="shared" si="3"/>
        <v>-5.18800000000013E-3</v>
      </c>
      <c r="P6" s="21">
        <f t="shared" si="1"/>
        <v>-5.8800000000001429E-3</v>
      </c>
      <c r="Q6" s="29">
        <f t="shared" ref="Q6:Q28" si="4">O6*P6</f>
        <v>3.0505440000001505E-5</v>
      </c>
      <c r="R6" s="47">
        <f>O6*O6</f>
        <v>2.6915344000001348E-5</v>
      </c>
      <c r="T6" s="53">
        <f>(L$17*E6) + L$20</f>
        <v>-4.1488955413631215E-3</v>
      </c>
      <c r="U6" s="50">
        <f t="shared" ref="U6:U27" si="5">J6-T6</f>
        <v>-4.5110445863703798E-4</v>
      </c>
    </row>
    <row r="7" spans="2:21" ht="15" thickBot="1" x14ac:dyDescent="0.35">
      <c r="B7" s="5">
        <v>45452</v>
      </c>
      <c r="C7" s="9">
        <v>1.1083000000000001</v>
      </c>
      <c r="D7" s="14">
        <v>1.111</v>
      </c>
      <c r="E7" s="9">
        <f t="shared" si="2"/>
        <v>-2.6999999999999247E-3</v>
      </c>
      <c r="G7" s="16">
        <v>45452</v>
      </c>
      <c r="H7" s="9">
        <v>1.3123</v>
      </c>
      <c r="I7" s="9">
        <v>1.3178000000000001</v>
      </c>
      <c r="J7" s="9">
        <f t="shared" si="0"/>
        <v>-5.5000000000000604E-3</v>
      </c>
      <c r="K7"/>
      <c r="L7" s="8" t="s">
        <v>19</v>
      </c>
      <c r="M7" s="13" t="s">
        <v>20</v>
      </c>
      <c r="O7" s="26">
        <f t="shared" si="3"/>
        <v>-3.0879999999999176E-3</v>
      </c>
      <c r="P7" s="21">
        <f t="shared" si="1"/>
        <v>-6.7800000000000438E-3</v>
      </c>
      <c r="Q7" s="29">
        <f t="shared" si="4"/>
        <v>2.0936639999999578E-5</v>
      </c>
      <c r="R7" s="47">
        <f>O7*O7</f>
        <v>9.5357439999994913E-6</v>
      </c>
      <c r="T7" s="53">
        <f>(L$17*E7) + L$20</f>
        <v>-1.9513857809808186E-3</v>
      </c>
      <c r="U7" s="50">
        <f t="shared" si="5"/>
        <v>-3.5486142190192418E-3</v>
      </c>
    </row>
    <row r="8" spans="2:21" ht="15" thickBot="1" x14ac:dyDescent="0.35">
      <c r="B8" s="5">
        <v>45421</v>
      </c>
      <c r="C8" s="9">
        <v>1.111</v>
      </c>
      <c r="D8" s="14">
        <v>1.1082000000000001</v>
      </c>
      <c r="E8" s="9">
        <f t="shared" si="2"/>
        <v>2.7999999999999137E-3</v>
      </c>
      <c r="G8" s="16">
        <v>45421</v>
      </c>
      <c r="H8" s="9">
        <v>1.3174999999999999</v>
      </c>
      <c r="I8" s="9">
        <v>1.3147</v>
      </c>
      <c r="J8" s="9">
        <f t="shared" si="0"/>
        <v>2.7999999999999137E-3</v>
      </c>
      <c r="K8"/>
      <c r="L8" s="27">
        <f>SUM(E4:E28)/L4</f>
        <v>3.8799999999999279E-4</v>
      </c>
      <c r="M8" s="31">
        <f>SUM(J4:J28)/M4</f>
        <v>1.2799999999999834E-3</v>
      </c>
      <c r="O8" s="26">
        <f t="shared" si="3"/>
        <v>2.4119999999999207E-3</v>
      </c>
      <c r="P8" s="21">
        <f t="shared" si="1"/>
        <v>1.5199999999999303E-3</v>
      </c>
      <c r="Q8" s="29">
        <f t="shared" si="4"/>
        <v>3.6662399999997111E-6</v>
      </c>
      <c r="R8" s="47">
        <f t="shared" ref="R8:R28" si="6">O8*O8</f>
        <v>5.8177439999996177E-6</v>
      </c>
      <c r="T8" s="53">
        <f t="shared" ref="T8:T28" si="7">(L$17*E8) + L$20</f>
        <v>3.8039969247816046E-3</v>
      </c>
      <c r="U8" s="50">
        <f t="shared" si="5"/>
        <v>-1.003996924781691E-3</v>
      </c>
    </row>
    <row r="9" spans="2:21" ht="15" thickBot="1" x14ac:dyDescent="0.35">
      <c r="B9" s="5">
        <v>45391</v>
      </c>
      <c r="C9" s="9">
        <v>1.1082000000000001</v>
      </c>
      <c r="D9" s="14">
        <v>1.1043000000000001</v>
      </c>
      <c r="E9" s="9">
        <f t="shared" si="2"/>
        <v>3.9000000000000146E-3</v>
      </c>
      <c r="G9" s="16">
        <v>45391</v>
      </c>
      <c r="H9" s="9">
        <v>1.3142</v>
      </c>
      <c r="I9" s="9">
        <v>1.3112999999999999</v>
      </c>
      <c r="J9" s="9">
        <f t="shared" si="0"/>
        <v>2.9000000000001247E-3</v>
      </c>
      <c r="K9"/>
      <c r="L9" s="21"/>
      <c r="M9" s="21"/>
      <c r="O9" s="26">
        <f t="shared" si="3"/>
        <v>3.5120000000000216E-3</v>
      </c>
      <c r="P9" s="21">
        <f t="shared" si="1"/>
        <v>1.6200000000001413E-3</v>
      </c>
      <c r="Q9" s="29">
        <f t="shared" si="4"/>
        <v>5.6894400000005315E-6</v>
      </c>
      <c r="R9" s="47">
        <f t="shared" si="6"/>
        <v>1.2334144000000152E-5</v>
      </c>
      <c r="T9" s="53">
        <f t="shared" si="7"/>
        <v>4.9550734659342286E-3</v>
      </c>
      <c r="U9" s="50">
        <f t="shared" si="5"/>
        <v>-2.0550734659341039E-3</v>
      </c>
    </row>
    <row r="10" spans="2:21" ht="15" thickBot="1" x14ac:dyDescent="0.35">
      <c r="B10" s="5">
        <v>45360</v>
      </c>
      <c r="C10" s="9">
        <v>1.1043000000000001</v>
      </c>
      <c r="D10" s="14">
        <v>1.1069</v>
      </c>
      <c r="E10" s="9">
        <f t="shared" si="2"/>
        <v>-2.5999999999999357E-3</v>
      </c>
      <c r="G10" s="16">
        <v>45360</v>
      </c>
      <c r="H10" s="9">
        <v>1.3110999999999999</v>
      </c>
      <c r="I10" s="9">
        <v>1.3150999999999999</v>
      </c>
      <c r="J10" s="9">
        <f t="shared" si="0"/>
        <v>-4.0000000000000036E-3</v>
      </c>
      <c r="K10"/>
      <c r="L10" s="72" t="s">
        <v>30</v>
      </c>
      <c r="M10" s="73"/>
      <c r="O10" s="26">
        <f t="shared" si="3"/>
        <v>-2.9879999999999286E-3</v>
      </c>
      <c r="P10" s="21">
        <f t="shared" si="1"/>
        <v>-5.279999999999987E-3</v>
      </c>
      <c r="Q10" s="29">
        <f t="shared" si="4"/>
        <v>1.5776639999999583E-5</v>
      </c>
      <c r="R10" s="47">
        <f t="shared" si="6"/>
        <v>8.9281439999995736E-6</v>
      </c>
      <c r="T10" s="53">
        <f t="shared" si="7"/>
        <v>-1.8467424590578739E-3</v>
      </c>
      <c r="U10" s="50">
        <f t="shared" si="5"/>
        <v>-2.1532575409421296E-3</v>
      </c>
    </row>
    <row r="11" spans="2:21" ht="15" thickBot="1" x14ac:dyDescent="0.35">
      <c r="B11" s="5">
        <v>45331</v>
      </c>
      <c r="C11" s="9">
        <v>1.1071</v>
      </c>
      <c r="D11" s="14">
        <v>1.1047</v>
      </c>
      <c r="E11" s="9">
        <f t="shared" si="2"/>
        <v>2.3999999999999577E-3</v>
      </c>
      <c r="G11" s="16">
        <v>45331</v>
      </c>
      <c r="H11" s="9">
        <v>1.3149</v>
      </c>
      <c r="I11" s="9">
        <v>1.3122</v>
      </c>
      <c r="J11" s="9">
        <f t="shared" si="0"/>
        <v>2.6999999999999247E-3</v>
      </c>
      <c r="K11"/>
      <c r="L11" s="74">
        <f>SUM(Q4:Q28)</f>
        <v>3.8982400000000047E-4</v>
      </c>
      <c r="M11" s="75"/>
      <c r="O11" s="26">
        <f t="shared" si="3"/>
        <v>2.0119999999999648E-3</v>
      </c>
      <c r="P11" s="21">
        <f t="shared" si="1"/>
        <v>1.4199999999999413E-3</v>
      </c>
      <c r="Q11" s="29">
        <f t="shared" si="4"/>
        <v>2.8570399999998316E-6</v>
      </c>
      <c r="R11" s="47">
        <f>O11*O11</f>
        <v>4.0481439999998583E-6</v>
      </c>
      <c r="T11" s="53">
        <f t="shared" si="7"/>
        <v>3.385423637089826E-3</v>
      </c>
      <c r="U11" s="50">
        <f t="shared" si="5"/>
        <v>-6.8542363708990134E-4</v>
      </c>
    </row>
    <row r="12" spans="2:21" ht="15" thickBot="1" x14ac:dyDescent="0.35">
      <c r="B12" s="4" t="s">
        <v>3</v>
      </c>
      <c r="C12" s="9">
        <v>1.1047</v>
      </c>
      <c r="D12" s="14">
        <v>1.1076999999999999</v>
      </c>
      <c r="E12" s="9">
        <f t="shared" si="2"/>
        <v>-2.9999999999998916E-3</v>
      </c>
      <c r="G12" s="11" t="s">
        <v>3</v>
      </c>
      <c r="H12" s="9">
        <v>1.3126</v>
      </c>
      <c r="I12" s="9">
        <v>1.3166</v>
      </c>
      <c r="J12" s="9">
        <f t="shared" si="0"/>
        <v>-4.0000000000000036E-3</v>
      </c>
      <c r="K12"/>
      <c r="L12" s="1"/>
      <c r="M12" s="1"/>
      <c r="O12" s="26">
        <f t="shared" si="3"/>
        <v>-3.3879999999998846E-3</v>
      </c>
      <c r="P12" s="21">
        <f t="shared" si="1"/>
        <v>-5.279999999999987E-3</v>
      </c>
      <c r="Q12" s="29">
        <f t="shared" si="4"/>
        <v>1.7888639999999346E-5</v>
      </c>
      <c r="R12" s="47">
        <f>O12*O12</f>
        <v>1.1478543999999218E-5</v>
      </c>
      <c r="T12" s="53">
        <f t="shared" si="7"/>
        <v>-2.2653157467496525E-3</v>
      </c>
      <c r="U12" s="50">
        <f t="shared" si="5"/>
        <v>-1.734684253250351E-3</v>
      </c>
    </row>
    <row r="13" spans="2:21" ht="15" thickBot="1" x14ac:dyDescent="0.35">
      <c r="B13" s="4" t="s">
        <v>4</v>
      </c>
      <c r="C13" s="9">
        <v>1.1076999999999999</v>
      </c>
      <c r="D13" s="14">
        <v>1.1119000000000001</v>
      </c>
      <c r="E13" s="9">
        <f t="shared" si="2"/>
        <v>-4.2000000000002036E-3</v>
      </c>
      <c r="G13" s="11" t="s">
        <v>4</v>
      </c>
      <c r="H13" s="9">
        <v>1.3168</v>
      </c>
      <c r="I13" s="9">
        <v>1.3190999999999999</v>
      </c>
      <c r="J13" s="9">
        <f t="shared" si="0"/>
        <v>-2.2999999999999687E-3</v>
      </c>
      <c r="K13"/>
      <c r="L13" s="59" t="s">
        <v>31</v>
      </c>
      <c r="M13" s="60"/>
      <c r="O13" s="26">
        <f t="shared" si="3"/>
        <v>-4.5880000000001961E-3</v>
      </c>
      <c r="P13" s="21">
        <f t="shared" si="1"/>
        <v>-3.5799999999999521E-3</v>
      </c>
      <c r="Q13" s="29">
        <f t="shared" si="4"/>
        <v>1.6425040000000483E-5</v>
      </c>
      <c r="R13" s="47">
        <f t="shared" si="6"/>
        <v>2.1049744000001799E-5</v>
      </c>
      <c r="T13" s="53">
        <f t="shared" si="7"/>
        <v>-3.5210356098254536E-3</v>
      </c>
      <c r="U13" s="50">
        <f t="shared" si="5"/>
        <v>1.2210356098254849E-3</v>
      </c>
    </row>
    <row r="14" spans="2:21" ht="15" thickBot="1" x14ac:dyDescent="0.35">
      <c r="B14" s="4" t="s">
        <v>5</v>
      </c>
      <c r="C14" s="9">
        <v>1.1120000000000001</v>
      </c>
      <c r="D14" s="14">
        <v>1.1184000000000001</v>
      </c>
      <c r="E14" s="9">
        <f t="shared" si="2"/>
        <v>-6.3999999999999613E-3</v>
      </c>
      <c r="G14" s="11" t="s">
        <v>5</v>
      </c>
      <c r="H14" s="9">
        <v>1.319</v>
      </c>
      <c r="I14" s="9">
        <v>1.3259000000000001</v>
      </c>
      <c r="J14" s="9">
        <f t="shared" si="0"/>
        <v>-6.9000000000001283E-3</v>
      </c>
      <c r="K14"/>
      <c r="L14" s="61">
        <f>SUM(R4:R28)</f>
        <v>3.7252640000000082E-4</v>
      </c>
      <c r="M14" s="62"/>
      <c r="O14" s="26">
        <f t="shared" ref="O14:O28" si="8">(E14-L$8)</f>
        <v>-6.7879999999999538E-3</v>
      </c>
      <c r="P14" s="21">
        <f t="shared" si="1"/>
        <v>-8.1800000000001108E-3</v>
      </c>
      <c r="Q14" s="29">
        <f t="shared" si="4"/>
        <v>5.5525840000000372E-5</v>
      </c>
      <c r="R14" s="47">
        <f t="shared" si="6"/>
        <v>4.6076943999999369E-5</v>
      </c>
      <c r="T14" s="53">
        <f t="shared" si="7"/>
        <v>-5.8231886921302368E-3</v>
      </c>
      <c r="U14" s="50">
        <f t="shared" si="5"/>
        <v>-1.0768113078698915E-3</v>
      </c>
    </row>
    <row r="15" spans="2:21" ht="15" thickBot="1" x14ac:dyDescent="0.35">
      <c r="B15" s="4" t="s">
        <v>6</v>
      </c>
      <c r="C15" s="9">
        <v>1.1184000000000001</v>
      </c>
      <c r="D15" s="14">
        <v>1.1161000000000001</v>
      </c>
      <c r="E15" s="9">
        <f t="shared" si="2"/>
        <v>2.2999999999999687E-3</v>
      </c>
      <c r="G15" s="11" t="s">
        <v>6</v>
      </c>
      <c r="H15" s="9">
        <v>1.3254999999999999</v>
      </c>
      <c r="I15" s="9">
        <v>1.319</v>
      </c>
      <c r="J15" s="9">
        <f t="shared" si="0"/>
        <v>6.4999999999999503E-3</v>
      </c>
      <c r="K15"/>
      <c r="L15" s="1"/>
      <c r="M15" s="1"/>
      <c r="O15" s="26">
        <f t="shared" si="8"/>
        <v>1.911999999999976E-3</v>
      </c>
      <c r="P15" s="21">
        <f t="shared" si="1"/>
        <v>5.2199999999999669E-3</v>
      </c>
      <c r="Q15" s="29">
        <f t="shared" si="4"/>
        <v>9.980639999999812E-6</v>
      </c>
      <c r="R15" s="47">
        <f t="shared" si="6"/>
        <v>3.655743999999908E-6</v>
      </c>
      <c r="T15" s="53">
        <f t="shared" si="7"/>
        <v>3.2807803151668809E-3</v>
      </c>
      <c r="U15" s="50">
        <f t="shared" si="5"/>
        <v>3.2192196848330693E-3</v>
      </c>
    </row>
    <row r="16" spans="2:21" ht="15" thickBot="1" x14ac:dyDescent="0.35">
      <c r="B16" s="4" t="s">
        <v>7</v>
      </c>
      <c r="C16" s="9">
        <v>1.1161000000000001</v>
      </c>
      <c r="D16" s="14">
        <v>1.1188</v>
      </c>
      <c r="E16" s="9">
        <f t="shared" si="2"/>
        <v>-2.6999999999999247E-3</v>
      </c>
      <c r="G16" s="11" t="s">
        <v>7</v>
      </c>
      <c r="H16" s="9">
        <v>1.319</v>
      </c>
      <c r="I16" s="9">
        <v>1.3213999999999999</v>
      </c>
      <c r="J16" s="9">
        <f t="shared" si="0"/>
        <v>-2.3999999999999577E-3</v>
      </c>
      <c r="K16"/>
      <c r="L16" s="59" t="s">
        <v>50</v>
      </c>
      <c r="M16" s="60"/>
      <c r="O16" s="26">
        <f>(E16-L$8)</f>
        <v>-3.0879999999999176E-3</v>
      </c>
      <c r="P16" s="21">
        <f t="shared" si="1"/>
        <v>-3.6799999999999411E-3</v>
      </c>
      <c r="Q16" s="29">
        <f t="shared" si="4"/>
        <v>1.1363839999999514E-5</v>
      </c>
      <c r="R16" s="47">
        <f t="shared" si="6"/>
        <v>9.5357439999994913E-6</v>
      </c>
      <c r="T16" s="53">
        <f t="shared" si="7"/>
        <v>-1.9513857809808186E-3</v>
      </c>
      <c r="U16" s="50">
        <f t="shared" si="5"/>
        <v>-4.4861421901913915E-4</v>
      </c>
    </row>
    <row r="17" spans="2:21" ht="15" thickBot="1" x14ac:dyDescent="0.35">
      <c r="B17" s="4" t="s">
        <v>8</v>
      </c>
      <c r="C17" s="9">
        <v>1.119</v>
      </c>
      <c r="D17" s="14">
        <v>1.1113</v>
      </c>
      <c r="E17" s="9">
        <f t="shared" si="2"/>
        <v>7.7000000000000401E-3</v>
      </c>
      <c r="G17" s="11" t="s">
        <v>8</v>
      </c>
      <c r="H17" s="9">
        <v>1.3209</v>
      </c>
      <c r="I17" s="9">
        <v>1.3089999999999999</v>
      </c>
      <c r="J17" s="9">
        <f t="shared" si="0"/>
        <v>1.1900000000000022E-2</v>
      </c>
      <c r="K17"/>
      <c r="L17" s="78">
        <f>L11/L14</f>
        <v>1.0464332192295622</v>
      </c>
      <c r="M17" s="79"/>
      <c r="O17" s="26">
        <f t="shared" si="8"/>
        <v>7.3120000000000476E-3</v>
      </c>
      <c r="P17" s="21">
        <f t="shared" si="1"/>
        <v>1.0620000000000039E-2</v>
      </c>
      <c r="Q17" s="29">
        <f t="shared" si="4"/>
        <v>7.7653440000000786E-5</v>
      </c>
      <c r="R17" s="47">
        <f t="shared" si="6"/>
        <v>5.3465344000000696E-5</v>
      </c>
      <c r="T17" s="53">
        <f t="shared" si="7"/>
        <v>8.9315196990065928E-3</v>
      </c>
      <c r="U17" s="50">
        <f t="shared" si="5"/>
        <v>2.9684803009934289E-3</v>
      </c>
    </row>
    <row r="18" spans="2:21" ht="15" thickBot="1" x14ac:dyDescent="0.35">
      <c r="B18" s="4" t="s">
        <v>9</v>
      </c>
      <c r="C18" s="9">
        <v>1.1112</v>
      </c>
      <c r="D18" s="14">
        <v>1.115</v>
      </c>
      <c r="E18" s="9">
        <f t="shared" si="2"/>
        <v>-3.8000000000000256E-3</v>
      </c>
      <c r="G18" s="11" t="s">
        <v>9</v>
      </c>
      <c r="H18" s="9">
        <v>1.3088</v>
      </c>
      <c r="I18" s="9">
        <v>1.3092999999999999</v>
      </c>
      <c r="J18" s="9">
        <f t="shared" si="0"/>
        <v>-4.9999999999994493E-4</v>
      </c>
      <c r="K18"/>
      <c r="L18" s="1"/>
      <c r="M18" s="1"/>
      <c r="O18" s="26">
        <f t="shared" si="8"/>
        <v>-4.1880000000000181E-3</v>
      </c>
      <c r="P18" s="21">
        <f t="shared" si="1"/>
        <v>-1.7799999999999283E-3</v>
      </c>
      <c r="Q18" s="29">
        <f t="shared" si="4"/>
        <v>7.4546399999997323E-6</v>
      </c>
      <c r="R18" s="47">
        <f t="shared" si="6"/>
        <v>1.7539344000000153E-5</v>
      </c>
      <c r="T18" s="53">
        <f t="shared" si="7"/>
        <v>-3.1024623221334426E-3</v>
      </c>
      <c r="U18" s="50">
        <f t="shared" si="5"/>
        <v>2.6024623221334977E-3</v>
      </c>
    </row>
    <row r="19" spans="2:21" ht="15" thickBot="1" x14ac:dyDescent="0.35">
      <c r="B19" s="4" t="s">
        <v>10</v>
      </c>
      <c r="C19" s="9">
        <v>1.115</v>
      </c>
      <c r="D19" s="14">
        <v>1.1128</v>
      </c>
      <c r="E19" s="9">
        <f t="shared" si="2"/>
        <v>2.1999999999999797E-3</v>
      </c>
      <c r="G19" s="11" t="s">
        <v>10</v>
      </c>
      <c r="H19" s="9">
        <v>1.3091999999999999</v>
      </c>
      <c r="I19" s="9">
        <v>1.3032999999999999</v>
      </c>
      <c r="J19" s="9">
        <f t="shared" si="0"/>
        <v>5.9000000000000163E-3</v>
      </c>
      <c r="K19"/>
      <c r="L19" s="59" t="s">
        <v>51</v>
      </c>
      <c r="M19" s="60"/>
      <c r="O19" s="26">
        <f t="shared" si="8"/>
        <v>1.811999999999987E-3</v>
      </c>
      <c r="P19" s="21">
        <f t="shared" si="1"/>
        <v>4.6200000000000329E-3</v>
      </c>
      <c r="Q19" s="29">
        <f t="shared" si="4"/>
        <v>8.3714400000000003E-6</v>
      </c>
      <c r="R19" s="47">
        <f t="shared" si="6"/>
        <v>3.2833439999999529E-6</v>
      </c>
      <c r="T19" s="53">
        <f t="shared" si="7"/>
        <v>3.1761369932439363E-3</v>
      </c>
      <c r="U19" s="50">
        <f t="shared" si="5"/>
        <v>2.72386300675608E-3</v>
      </c>
    </row>
    <row r="20" spans="2:21" ht="15" thickBot="1" x14ac:dyDescent="0.35">
      <c r="B20" s="4" t="s">
        <v>11</v>
      </c>
      <c r="C20" s="9">
        <v>1.113</v>
      </c>
      <c r="D20" s="14">
        <v>1.1085</v>
      </c>
      <c r="E20" s="9">
        <f t="shared" si="2"/>
        <v>4.4999999999999485E-3</v>
      </c>
      <c r="G20" s="11" t="s">
        <v>11</v>
      </c>
      <c r="H20" s="9">
        <v>1.3028999999999999</v>
      </c>
      <c r="I20" s="9">
        <v>1.2995000000000001</v>
      </c>
      <c r="J20" s="9">
        <f t="shared" si="0"/>
        <v>3.3999999999998476E-3</v>
      </c>
      <c r="K20"/>
      <c r="L20" s="63">
        <f>M8-(L17*L8)</f>
        <v>8.7398391093892081E-4</v>
      </c>
      <c r="M20" s="64"/>
      <c r="O20" s="26">
        <f t="shared" si="8"/>
        <v>4.111999999999956E-3</v>
      </c>
      <c r="P20" s="21">
        <f t="shared" si="1"/>
        <v>2.1199999999998642E-3</v>
      </c>
      <c r="Q20" s="29">
        <f t="shared" si="4"/>
        <v>8.7174399999993478E-6</v>
      </c>
      <c r="R20" s="47">
        <f t="shared" si="6"/>
        <v>1.6908543999999637E-5</v>
      </c>
      <c r="T20" s="53">
        <f t="shared" si="7"/>
        <v>5.5829333974718965E-3</v>
      </c>
      <c r="U20" s="50">
        <f t="shared" si="5"/>
        <v>-2.1829333974720489E-3</v>
      </c>
    </row>
    <row r="21" spans="2:21" ht="15" thickBot="1" x14ac:dyDescent="0.35">
      <c r="B21" s="4" t="s">
        <v>12</v>
      </c>
      <c r="C21" s="9">
        <v>1.1085</v>
      </c>
      <c r="D21" s="14">
        <v>1.1024</v>
      </c>
      <c r="E21" s="9">
        <f t="shared" si="2"/>
        <v>6.0999999999999943E-3</v>
      </c>
      <c r="G21" s="11" t="s">
        <v>12</v>
      </c>
      <c r="H21" s="9">
        <v>1.2988</v>
      </c>
      <c r="I21" s="9">
        <v>1.2936000000000001</v>
      </c>
      <c r="J21" s="9">
        <f t="shared" si="0"/>
        <v>5.1999999999998714E-3</v>
      </c>
      <c r="K21"/>
      <c r="L21" s="1"/>
      <c r="M21" s="1"/>
      <c r="O21" s="26">
        <f t="shared" si="8"/>
        <v>5.7120000000000018E-3</v>
      </c>
      <c r="P21" s="21">
        <f t="shared" si="1"/>
        <v>3.919999999999888E-3</v>
      </c>
      <c r="Q21" s="29">
        <f t="shared" si="4"/>
        <v>2.2391039999999369E-5</v>
      </c>
      <c r="R21" s="47">
        <f t="shared" si="6"/>
        <v>3.2626944000000018E-5</v>
      </c>
      <c r="T21" s="53">
        <f t="shared" si="7"/>
        <v>7.2572265482392442E-3</v>
      </c>
      <c r="U21" s="50">
        <f t="shared" si="5"/>
        <v>-2.0572265482393728E-3</v>
      </c>
    </row>
    <row r="22" spans="2:21" ht="15" thickBot="1" x14ac:dyDescent="0.35">
      <c r="B22" s="4" t="s">
        <v>13</v>
      </c>
      <c r="C22" s="9">
        <v>1.1028</v>
      </c>
      <c r="D22" s="14">
        <v>1.0972</v>
      </c>
      <c r="E22" s="9">
        <f t="shared" si="2"/>
        <v>5.6000000000000494E-3</v>
      </c>
      <c r="G22" s="11" t="s">
        <v>13</v>
      </c>
      <c r="H22" s="9">
        <v>1.2944</v>
      </c>
      <c r="I22" s="9">
        <v>1.2854000000000001</v>
      </c>
      <c r="J22" s="9">
        <f t="shared" si="0"/>
        <v>8.999999999999897E-3</v>
      </c>
      <c r="K22"/>
      <c r="L22" s="59" t="s">
        <v>47</v>
      </c>
      <c r="M22" s="60"/>
      <c r="O22" s="26">
        <f t="shared" si="8"/>
        <v>5.2120000000000569E-3</v>
      </c>
      <c r="P22" s="21">
        <f t="shared" si="1"/>
        <v>7.7199999999999136E-3</v>
      </c>
      <c r="Q22" s="29">
        <f t="shared" si="4"/>
        <v>4.023663999999999E-5</v>
      </c>
      <c r="R22" s="47">
        <f t="shared" si="6"/>
        <v>2.7164944000000591E-5</v>
      </c>
      <c r="T22" s="53">
        <f t="shared" si="7"/>
        <v>6.734009938624521E-3</v>
      </c>
      <c r="U22" s="50">
        <f t="shared" si="5"/>
        <v>2.265990061375376E-3</v>
      </c>
    </row>
    <row r="23" spans="2:21" ht="15" thickBot="1" x14ac:dyDescent="0.35">
      <c r="B23" s="4" t="s">
        <v>14</v>
      </c>
      <c r="C23" s="9">
        <v>1.0971</v>
      </c>
      <c r="D23" s="14">
        <v>1.1012</v>
      </c>
      <c r="E23" s="9">
        <f t="shared" si="2"/>
        <v>-4.0999999999999925E-3</v>
      </c>
      <c r="G23" s="11" t="s">
        <v>14</v>
      </c>
      <c r="H23" s="9">
        <v>1.2850999999999999</v>
      </c>
      <c r="I23" s="9">
        <v>1.2827</v>
      </c>
      <c r="J23" s="9">
        <f t="shared" si="0"/>
        <v>2.3999999999999577E-3</v>
      </c>
      <c r="K23"/>
      <c r="L23" s="76" cm="1">
        <f t="array" ref="L23">SUM(ABS(U4:U28))/L4</f>
        <v>2.3719763775131597E-3</v>
      </c>
      <c r="M23" s="77"/>
      <c r="O23" s="26">
        <f t="shared" si="8"/>
        <v>-4.4879999999999851E-3</v>
      </c>
      <c r="P23" s="21">
        <f t="shared" si="1"/>
        <v>1.1199999999999743E-3</v>
      </c>
      <c r="Q23" s="29">
        <f t="shared" si="4"/>
        <v>-5.0265599999998679E-6</v>
      </c>
      <c r="R23" s="47">
        <f t="shared" si="6"/>
        <v>2.0142143999999866E-5</v>
      </c>
      <c r="T23" s="53">
        <f t="shared" si="7"/>
        <v>-3.4163922879022765E-3</v>
      </c>
      <c r="U23" s="50">
        <f t="shared" si="5"/>
        <v>5.8163922879022343E-3</v>
      </c>
    </row>
    <row r="24" spans="2:21" ht="15" thickBot="1" x14ac:dyDescent="0.35">
      <c r="B24" s="4" t="s">
        <v>15</v>
      </c>
      <c r="C24" s="9">
        <v>1.1012</v>
      </c>
      <c r="D24" s="14">
        <v>1.0992</v>
      </c>
      <c r="E24" s="9">
        <f t="shared" si="2"/>
        <v>2.0000000000000018E-3</v>
      </c>
      <c r="G24" s="11" t="s">
        <v>15</v>
      </c>
      <c r="H24" s="9">
        <v>1.2825</v>
      </c>
      <c r="I24" s="9">
        <v>1.2862</v>
      </c>
      <c r="J24" s="9">
        <f t="shared" si="0"/>
        <v>-3.7000000000000366E-3</v>
      </c>
      <c r="K24"/>
      <c r="L24" s="1"/>
      <c r="M24" s="1"/>
      <c r="O24" s="26">
        <f t="shared" si="8"/>
        <v>1.612000000000009E-3</v>
      </c>
      <c r="P24" s="21">
        <f t="shared" si="1"/>
        <v>-4.98000000000002E-3</v>
      </c>
      <c r="Q24" s="29">
        <f t="shared" si="4"/>
        <v>-8.0277600000000764E-6</v>
      </c>
      <c r="R24" s="47">
        <f t="shared" si="6"/>
        <v>2.5985440000000294E-6</v>
      </c>
      <c r="T24" s="53">
        <f t="shared" si="7"/>
        <v>2.966850349398047E-3</v>
      </c>
      <c r="U24" s="50">
        <f t="shared" si="5"/>
        <v>-6.6668503493980836E-3</v>
      </c>
    </row>
    <row r="25" spans="2:21" ht="15" thickBot="1" x14ac:dyDescent="0.35">
      <c r="B25" s="4" t="s">
        <v>16</v>
      </c>
      <c r="C25" s="9">
        <v>1.0992</v>
      </c>
      <c r="D25" s="14">
        <v>1.0931999999999999</v>
      </c>
      <c r="E25" s="9">
        <f t="shared" si="2"/>
        <v>6.0000000000000053E-3</v>
      </c>
      <c r="G25" s="11" t="s">
        <v>16</v>
      </c>
      <c r="H25" s="9">
        <v>1.2857000000000001</v>
      </c>
      <c r="I25" s="9">
        <v>1.2766</v>
      </c>
      <c r="J25" s="9">
        <f t="shared" si="0"/>
        <v>9.100000000000108E-3</v>
      </c>
      <c r="K25"/>
      <c r="L25" s="59" t="s">
        <v>52</v>
      </c>
      <c r="M25" s="60"/>
      <c r="O25" s="26">
        <f t="shared" si="8"/>
        <v>5.6120000000000128E-3</v>
      </c>
      <c r="P25" s="21">
        <f t="shared" si="1"/>
        <v>7.8200000000001255E-3</v>
      </c>
      <c r="Q25" s="29">
        <f t="shared" si="4"/>
        <v>4.3885840000000802E-5</v>
      </c>
      <c r="R25" s="47">
        <f t="shared" si="6"/>
        <v>3.1494544000000144E-5</v>
      </c>
      <c r="T25" s="53">
        <f t="shared" si="7"/>
        <v>7.1525832263162996E-3</v>
      </c>
      <c r="U25" s="50">
        <f t="shared" si="5"/>
        <v>1.9474167736838084E-3</v>
      </c>
    </row>
    <row r="26" spans="2:21" ht="15" thickBot="1" x14ac:dyDescent="0.35">
      <c r="B26" s="5">
        <v>45634</v>
      </c>
      <c r="C26" s="9">
        <v>1.0931</v>
      </c>
      <c r="D26" s="14">
        <v>1.0914999999999999</v>
      </c>
      <c r="E26" s="9">
        <f t="shared" si="2"/>
        <v>1.6000000000000458E-3</v>
      </c>
      <c r="G26" s="16">
        <v>45634</v>
      </c>
      <c r="H26" s="9">
        <v>1.2764</v>
      </c>
      <c r="I26" s="9">
        <v>1.2757000000000001</v>
      </c>
      <c r="J26" s="9">
        <f t="shared" si="0"/>
        <v>6.9999999999992291E-4</v>
      </c>
      <c r="K26"/>
      <c r="L26" s="65">
        <f>CORREL(E4:E28,J4:J28)*100</f>
        <v>81.627461209591061</v>
      </c>
      <c r="M26" s="66"/>
      <c r="O26" s="26">
        <f t="shared" si="8"/>
        <v>1.2120000000000531E-3</v>
      </c>
      <c r="P26" s="21">
        <f t="shared" si="1"/>
        <v>-5.800000000000605E-4</v>
      </c>
      <c r="Q26" s="29">
        <f t="shared" si="4"/>
        <v>-7.0296000000010412E-7</v>
      </c>
      <c r="R26" s="47">
        <f t="shared" si="6"/>
        <v>1.4689440000001287E-6</v>
      </c>
      <c r="T26" s="53">
        <f t="shared" si="7"/>
        <v>2.5482770617062684E-3</v>
      </c>
      <c r="U26" s="50">
        <f t="shared" si="5"/>
        <v>-1.8482770617063455E-3</v>
      </c>
    </row>
    <row r="27" spans="2:21" x14ac:dyDescent="0.3">
      <c r="B27" s="5">
        <v>45543</v>
      </c>
      <c r="C27" s="9">
        <v>1.0915999999999999</v>
      </c>
      <c r="D27" s="14">
        <v>1.0919000000000001</v>
      </c>
      <c r="E27" s="9">
        <f t="shared" si="2"/>
        <v>-3.00000000000189E-4</v>
      </c>
      <c r="G27" s="16">
        <v>45543</v>
      </c>
      <c r="H27" s="9">
        <v>1.2759</v>
      </c>
      <c r="I27" s="9">
        <v>1.2748999999999999</v>
      </c>
      <c r="J27" s="9">
        <f t="shared" si="0"/>
        <v>1.0000000000001119E-3</v>
      </c>
      <c r="K27"/>
      <c r="L27" s="1"/>
      <c r="M27" s="1"/>
      <c r="O27" s="26">
        <f t="shared" si="8"/>
        <v>-6.8800000000018174E-4</v>
      </c>
      <c r="P27" s="21">
        <f t="shared" si="1"/>
        <v>-2.799999999998715E-4</v>
      </c>
      <c r="Q27" s="29">
        <f t="shared" si="4"/>
        <v>1.9263999999996248E-7</v>
      </c>
      <c r="R27" s="47">
        <f t="shared" si="6"/>
        <v>4.7334400000025007E-7</v>
      </c>
      <c r="T27" s="53">
        <f t="shared" si="7"/>
        <v>5.600539451698543E-4</v>
      </c>
      <c r="U27" s="50">
        <f t="shared" si="5"/>
        <v>4.3994605483025761E-4</v>
      </c>
    </row>
    <row r="28" spans="2:21" ht="15" thickBot="1" x14ac:dyDescent="0.35">
      <c r="B28" s="6">
        <v>45512</v>
      </c>
      <c r="C28" s="10">
        <v>1.0918000000000001</v>
      </c>
      <c r="D28" s="15">
        <v>1.0922000000000001</v>
      </c>
      <c r="E28" s="10">
        <f t="shared" si="2"/>
        <v>-3.9999999999995595E-4</v>
      </c>
      <c r="G28" s="17">
        <v>45512</v>
      </c>
      <c r="H28" s="10">
        <v>1.2746999999999999</v>
      </c>
      <c r="I28" s="10">
        <v>1.2690999999999999</v>
      </c>
      <c r="J28" s="10">
        <f t="shared" si="0"/>
        <v>5.6000000000000494E-3</v>
      </c>
      <c r="K28"/>
      <c r="L28" s="1"/>
      <c r="M28" s="1"/>
      <c r="O28" s="27">
        <f t="shared" si="8"/>
        <v>-7.8799999999994868E-4</v>
      </c>
      <c r="P28" s="23">
        <f t="shared" si="1"/>
        <v>4.320000000000066E-3</v>
      </c>
      <c r="Q28" s="30">
        <f t="shared" si="4"/>
        <v>-3.4041599999998303E-6</v>
      </c>
      <c r="R28" s="48">
        <f t="shared" si="6"/>
        <v>6.2094399999991911E-7</v>
      </c>
      <c r="T28" s="54">
        <f t="shared" si="7"/>
        <v>4.55410623247142E-4</v>
      </c>
      <c r="U28" s="43">
        <f>J28-T28</f>
        <v>5.1445893767529073E-3</v>
      </c>
    </row>
    <row r="29" spans="2:21" x14ac:dyDescent="0.3">
      <c r="K29"/>
      <c r="M29" s="1"/>
    </row>
    <row r="30" spans="2:21" x14ac:dyDescent="0.3">
      <c r="K30"/>
      <c r="L30" s="1"/>
      <c r="M30" s="1"/>
    </row>
    <row r="31" spans="2:21" x14ac:dyDescent="0.3">
      <c r="K31"/>
      <c r="L31" s="1"/>
      <c r="M31" s="1"/>
    </row>
    <row r="32" spans="2:21" x14ac:dyDescent="0.3">
      <c r="K32"/>
      <c r="L32" s="1"/>
      <c r="M32" s="1"/>
    </row>
    <row r="33" spans="11:13" x14ac:dyDescent="0.3">
      <c r="K33"/>
      <c r="L33" s="1"/>
      <c r="M33" s="1"/>
    </row>
    <row r="34" spans="11:13" x14ac:dyDescent="0.3">
      <c r="L34" s="1"/>
      <c r="M34" s="1"/>
    </row>
    <row r="35" spans="11:13" x14ac:dyDescent="0.3">
      <c r="L35" s="1"/>
      <c r="M35" s="1"/>
    </row>
    <row r="36" spans="11:13" x14ac:dyDescent="0.3">
      <c r="L36" s="1"/>
      <c r="M36" s="1"/>
    </row>
    <row r="37" spans="11:13" x14ac:dyDescent="0.3">
      <c r="L37" s="1"/>
      <c r="M37" s="1"/>
    </row>
    <row r="38" spans="11:13" x14ac:dyDescent="0.3">
      <c r="L38" s="1"/>
      <c r="M38" s="1"/>
    </row>
    <row r="39" spans="11:13" x14ac:dyDescent="0.3">
      <c r="L39" s="1"/>
      <c r="M39" s="1"/>
    </row>
  </sheetData>
  <mergeCells count="17">
    <mergeCell ref="L25:M25"/>
    <mergeCell ref="L26:M26"/>
    <mergeCell ref="B2:E2"/>
    <mergeCell ref="G2:J2"/>
    <mergeCell ref="L2:M2"/>
    <mergeCell ref="L6:M6"/>
    <mergeCell ref="L16:M16"/>
    <mergeCell ref="L10:M10"/>
    <mergeCell ref="L11:M11"/>
    <mergeCell ref="L22:M22"/>
    <mergeCell ref="L23:M23"/>
    <mergeCell ref="L17:M17"/>
    <mergeCell ref="O2:R2"/>
    <mergeCell ref="L13:M13"/>
    <mergeCell ref="L14:M14"/>
    <mergeCell ref="L19:M19"/>
    <mergeCell ref="L20:M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D7E1-AAF0-4F3E-9B45-B222E5063CF3}">
  <dimension ref="B1:T33"/>
  <sheetViews>
    <sheetView tabSelected="1" zoomScale="120" zoomScaleNormal="120" workbookViewId="0">
      <selection activeCell="O20" sqref="O20"/>
    </sheetView>
  </sheetViews>
  <sheetFormatPr defaultRowHeight="14.4" x14ac:dyDescent="0.3"/>
  <cols>
    <col min="1" max="1" width="3.44140625" customWidth="1"/>
    <col min="2" max="2" width="11.88671875" style="2" customWidth="1"/>
    <col min="3" max="4" width="9.77734375" style="3" customWidth="1"/>
    <col min="5" max="5" width="13.6640625" style="3" customWidth="1"/>
    <col min="6" max="6" width="3.77734375" style="3" customWidth="1"/>
    <col min="7" max="7" width="11.88671875" style="2" customWidth="1"/>
    <col min="8" max="8" width="8.88671875" style="1"/>
    <col min="9" max="9" width="11.88671875" style="3" customWidth="1"/>
    <col min="10" max="10" width="13.6640625" style="3" customWidth="1"/>
    <col min="11" max="11" width="3.77734375" style="3" customWidth="1"/>
    <col min="12" max="13" width="11.88671875" style="3" customWidth="1"/>
    <col min="14" max="14" width="3.77734375" customWidth="1"/>
    <col min="15" max="15" width="15.77734375" style="21" customWidth="1"/>
    <col min="16" max="16" width="15.77734375" style="35" customWidth="1"/>
    <col min="17" max="17" width="15.77734375" style="22" customWidth="1"/>
    <col min="18" max="18" width="3.44140625" style="35" customWidth="1"/>
    <col min="19" max="19" width="25.77734375" style="32" customWidth="1"/>
    <col min="20" max="20" width="25.77734375" style="2" customWidth="1"/>
  </cols>
  <sheetData>
    <row r="1" spans="2:20" ht="15" thickBot="1" x14ac:dyDescent="0.35"/>
    <row r="2" spans="2:20" ht="15" thickBot="1" x14ac:dyDescent="0.35">
      <c r="B2" s="67" t="s">
        <v>17</v>
      </c>
      <c r="C2" s="68"/>
      <c r="D2" s="68"/>
      <c r="E2" s="69"/>
      <c r="F2"/>
      <c r="G2" s="67" t="s">
        <v>18</v>
      </c>
      <c r="H2" s="68"/>
      <c r="I2" s="68"/>
      <c r="J2" s="69"/>
      <c r="L2" s="70" t="s">
        <v>23</v>
      </c>
      <c r="M2" s="71"/>
      <c r="O2" s="40"/>
      <c r="P2" s="40"/>
      <c r="Q2" s="40"/>
      <c r="R2" s="40"/>
    </row>
    <row r="3" spans="2:20" ht="15" thickBot="1" x14ac:dyDescent="0.35">
      <c r="B3" s="7" t="s">
        <v>0</v>
      </c>
      <c r="C3" s="8" t="s">
        <v>1</v>
      </c>
      <c r="D3" s="13" t="s">
        <v>2</v>
      </c>
      <c r="E3" s="8" t="s">
        <v>21</v>
      </c>
      <c r="G3" s="12" t="s">
        <v>0</v>
      </c>
      <c r="H3" s="10" t="s">
        <v>1</v>
      </c>
      <c r="I3" s="10" t="s">
        <v>2</v>
      </c>
      <c r="J3" s="8" t="s">
        <v>22</v>
      </c>
      <c r="K3"/>
      <c r="L3" s="18" t="s">
        <v>17</v>
      </c>
      <c r="M3" s="8" t="s">
        <v>18</v>
      </c>
      <c r="O3" s="36" t="s">
        <v>33</v>
      </c>
      <c r="P3" s="42" t="s">
        <v>37</v>
      </c>
      <c r="Q3" s="42" t="s">
        <v>36</v>
      </c>
      <c r="R3"/>
      <c r="S3" s="52" t="s">
        <v>49</v>
      </c>
      <c r="T3" s="33" t="s">
        <v>34</v>
      </c>
    </row>
    <row r="4" spans="2:20" ht="15" thickBot="1" x14ac:dyDescent="0.35">
      <c r="B4" s="5">
        <v>45605</v>
      </c>
      <c r="C4" s="9">
        <v>1.1011</v>
      </c>
      <c r="D4" s="14">
        <v>1.1019000000000001</v>
      </c>
      <c r="E4" s="9">
        <f t="shared" ref="E4:E28" si="0">C4-D4</f>
        <v>-8.0000000000013394E-4</v>
      </c>
      <c r="G4" s="16">
        <v>45605</v>
      </c>
      <c r="H4" s="9">
        <v>1.3043</v>
      </c>
      <c r="I4" s="9">
        <v>1.3080000000000001</v>
      </c>
      <c r="J4" s="9">
        <f t="shared" ref="J4:J28" si="1">H4-I4</f>
        <v>-3.7000000000000366E-3</v>
      </c>
      <c r="K4"/>
      <c r="L4" s="19">
        <f>COUNTA(B4:B28)</f>
        <v>25</v>
      </c>
      <c r="M4" s="20">
        <f>COUNTA(G4:G28)</f>
        <v>25</v>
      </c>
      <c r="O4" s="44">
        <f>SUM(J4:J28)</f>
        <v>3.1999999999999584E-2</v>
      </c>
      <c r="P4" s="37">
        <f>E4*E4</f>
        <v>6.4000000000021431E-7</v>
      </c>
      <c r="Q4" s="37">
        <f>E4*J4</f>
        <v>2.9600000000005248E-6</v>
      </c>
      <c r="R4"/>
      <c r="S4" s="53">
        <f>L$19+(L$22*E4)</f>
        <v>3.6837335555130299E-5</v>
      </c>
      <c r="T4" s="50">
        <f>J4-S4</f>
        <v>-3.7368373355551668E-3</v>
      </c>
    </row>
    <row r="5" spans="2:20" ht="15" thickBot="1" x14ac:dyDescent="0.35">
      <c r="B5" s="5">
        <v>45574</v>
      </c>
      <c r="C5" s="9">
        <v>1.1019000000000001</v>
      </c>
      <c r="D5" s="14">
        <v>1.1034999999999999</v>
      </c>
      <c r="E5" s="9">
        <f t="shared" si="0"/>
        <v>-1.5999999999998238E-3</v>
      </c>
      <c r="G5" s="16">
        <v>45574</v>
      </c>
      <c r="H5" s="9">
        <v>1.3079000000000001</v>
      </c>
      <c r="I5" s="9">
        <v>1.3073999999999999</v>
      </c>
      <c r="J5" s="9">
        <f t="shared" si="1"/>
        <v>5.0000000000016698E-4</v>
      </c>
      <c r="K5"/>
      <c r="L5" s="1"/>
      <c r="M5" s="1"/>
      <c r="O5" s="41" t="s">
        <v>37</v>
      </c>
      <c r="P5" s="38">
        <f>E5*E5</f>
        <v>2.5599999999994359E-6</v>
      </c>
      <c r="Q5" s="38">
        <f>E5*J5</f>
        <v>-8.0000000000017901E-7</v>
      </c>
      <c r="R5"/>
      <c r="S5" s="53">
        <f>L$19+(L$22*E5)</f>
        <v>-8.0030923982819531E-4</v>
      </c>
      <c r="T5" s="50">
        <f t="shared" ref="T5:T28" si="2">J5-S5</f>
        <v>1.3003092398283624E-3</v>
      </c>
    </row>
    <row r="6" spans="2:20" ht="18" thickBot="1" x14ac:dyDescent="0.4">
      <c r="B6" s="5">
        <v>45544</v>
      </c>
      <c r="C6" s="9">
        <v>1.1033999999999999</v>
      </c>
      <c r="D6" s="14">
        <v>1.1082000000000001</v>
      </c>
      <c r="E6" s="9">
        <f t="shared" si="0"/>
        <v>-4.8000000000001375E-3</v>
      </c>
      <c r="G6" s="16">
        <v>45544</v>
      </c>
      <c r="H6" s="9">
        <v>1.3071999999999999</v>
      </c>
      <c r="I6" s="9">
        <v>1.3118000000000001</v>
      </c>
      <c r="J6" s="9">
        <f t="shared" si="1"/>
        <v>-4.6000000000001595E-3</v>
      </c>
      <c r="K6"/>
      <c r="L6" s="80" t="s">
        <v>40</v>
      </c>
      <c r="M6" s="71"/>
      <c r="O6" s="27">
        <f>SUM(P4:P28)</f>
        <v>3.7629000000000064E-4</v>
      </c>
      <c r="P6" s="38">
        <f t="shared" ref="P6:P28" si="3">E6*E6</f>
        <v>2.3040000000001321E-5</v>
      </c>
      <c r="Q6" s="38">
        <f t="shared" ref="Q6:Q28" si="4">E6*J6</f>
        <v>2.2080000000001398E-5</v>
      </c>
      <c r="R6"/>
      <c r="S6" s="53">
        <f t="shared" ref="S6:S28" si="5">L$19+(L$22*E6)</f>
        <v>-4.1488955413631241E-3</v>
      </c>
      <c r="T6" s="50">
        <f t="shared" si="2"/>
        <v>-4.5110445863703538E-4</v>
      </c>
    </row>
    <row r="7" spans="2:20" ht="15" thickBot="1" x14ac:dyDescent="0.35">
      <c r="B7" s="5">
        <v>45452</v>
      </c>
      <c r="C7" s="9">
        <v>1.1083000000000001</v>
      </c>
      <c r="D7" s="14">
        <v>1.111</v>
      </c>
      <c r="E7" s="9">
        <f t="shared" si="0"/>
        <v>-2.6999999999999247E-3</v>
      </c>
      <c r="G7" s="16">
        <v>45452</v>
      </c>
      <c r="H7" s="9">
        <v>1.3123</v>
      </c>
      <c r="I7" s="9">
        <v>1.3178000000000001</v>
      </c>
      <c r="J7" s="9">
        <f t="shared" si="1"/>
        <v>-5.5000000000000604E-3</v>
      </c>
      <c r="K7"/>
      <c r="L7" s="83">
        <f>O4*O6</f>
        <v>1.2041279999999864E-5</v>
      </c>
      <c r="M7" s="84"/>
      <c r="O7" s="41" t="s">
        <v>35</v>
      </c>
      <c r="P7" s="38">
        <f t="shared" si="3"/>
        <v>7.2899999999995931E-6</v>
      </c>
      <c r="Q7" s="38">
        <f t="shared" si="4"/>
        <v>1.4849999999999749E-5</v>
      </c>
      <c r="R7"/>
      <c r="S7" s="53">
        <f t="shared" si="5"/>
        <v>-1.9513857809808199E-3</v>
      </c>
      <c r="T7" s="50">
        <f t="shared" si="2"/>
        <v>-3.5486142190192405E-3</v>
      </c>
    </row>
    <row r="8" spans="2:20" ht="15" thickBot="1" x14ac:dyDescent="0.35">
      <c r="B8" s="5">
        <v>45421</v>
      </c>
      <c r="C8" s="9">
        <v>1.111</v>
      </c>
      <c r="D8" s="14">
        <v>1.1082000000000001</v>
      </c>
      <c r="E8" s="9">
        <f t="shared" si="0"/>
        <v>2.7999999999999137E-3</v>
      </c>
      <c r="G8" s="16">
        <v>45421</v>
      </c>
      <c r="H8" s="9">
        <v>1.3174999999999999</v>
      </c>
      <c r="I8" s="9">
        <v>1.3147</v>
      </c>
      <c r="J8" s="9">
        <f t="shared" si="1"/>
        <v>2.7999999999999137E-3</v>
      </c>
      <c r="K8"/>
      <c r="M8" s="1"/>
      <c r="O8" s="10">
        <f>SUM(E4:E28)</f>
        <v>9.6999999999998199E-3</v>
      </c>
      <c r="P8" s="38">
        <f t="shared" si="3"/>
        <v>7.8399999999995167E-6</v>
      </c>
      <c r="Q8" s="38">
        <f t="shared" si="4"/>
        <v>7.8399999999995167E-6</v>
      </c>
      <c r="R8"/>
      <c r="S8" s="53">
        <f t="shared" si="5"/>
        <v>3.8039969247816059E-3</v>
      </c>
      <c r="T8" s="50">
        <f t="shared" si="2"/>
        <v>-1.0039969247816923E-3</v>
      </c>
    </row>
    <row r="9" spans="2:20" x14ac:dyDescent="0.3">
      <c r="B9" s="5">
        <v>45391</v>
      </c>
      <c r="C9" s="9">
        <v>1.1082000000000001</v>
      </c>
      <c r="D9" s="14">
        <v>1.1043000000000001</v>
      </c>
      <c r="E9" s="9">
        <f t="shared" si="0"/>
        <v>3.9000000000000146E-3</v>
      </c>
      <c r="G9" s="16">
        <v>45391</v>
      </c>
      <c r="H9" s="9">
        <v>1.3142</v>
      </c>
      <c r="I9" s="9">
        <v>1.3112999999999999</v>
      </c>
      <c r="J9" s="9">
        <f t="shared" si="1"/>
        <v>2.9000000000001247E-3</v>
      </c>
      <c r="K9"/>
      <c r="L9" s="70" t="s">
        <v>41</v>
      </c>
      <c r="M9" s="71"/>
      <c r="O9" s="41" t="s">
        <v>36</v>
      </c>
      <c r="P9" s="38">
        <f t="shared" si="3"/>
        <v>1.5210000000000114E-5</v>
      </c>
      <c r="Q9" s="38">
        <f t="shared" si="4"/>
        <v>1.1310000000000529E-5</v>
      </c>
      <c r="R9"/>
      <c r="S9" s="53">
        <f t="shared" si="5"/>
        <v>4.9550734659342304E-3</v>
      </c>
      <c r="T9" s="50">
        <f t="shared" si="2"/>
        <v>-2.0550734659341057E-3</v>
      </c>
    </row>
    <row r="10" spans="2:20" ht="15" thickBot="1" x14ac:dyDescent="0.35">
      <c r="B10" s="5">
        <v>45360</v>
      </c>
      <c r="C10" s="9">
        <v>1.1043000000000001</v>
      </c>
      <c r="D10" s="14">
        <v>1.1069</v>
      </c>
      <c r="E10" s="9">
        <f t="shared" si="0"/>
        <v>-2.5999999999999357E-3</v>
      </c>
      <c r="G10" s="16">
        <v>45360</v>
      </c>
      <c r="H10" s="9">
        <v>1.3110999999999999</v>
      </c>
      <c r="I10" s="9">
        <v>1.3150999999999999</v>
      </c>
      <c r="J10" s="9">
        <f t="shared" si="1"/>
        <v>-4.0000000000000036E-3</v>
      </c>
      <c r="K10"/>
      <c r="L10" s="81">
        <f>O8*O10</f>
        <v>3.901727999999929E-6</v>
      </c>
      <c r="M10" s="82"/>
      <c r="O10" s="39">
        <f>SUM(Q4:Q28)</f>
        <v>4.0224000000000016E-4</v>
      </c>
      <c r="P10" s="38">
        <f t="shared" si="3"/>
        <v>6.7599999999996659E-6</v>
      </c>
      <c r="Q10" s="38">
        <f t="shared" si="4"/>
        <v>1.0399999999999751E-5</v>
      </c>
      <c r="R10"/>
      <c r="S10" s="53">
        <f t="shared" si="5"/>
        <v>-1.8467424590578748E-3</v>
      </c>
      <c r="T10" s="50">
        <f t="shared" si="2"/>
        <v>-2.1532575409421288E-3</v>
      </c>
    </row>
    <row r="11" spans="2:20" ht="15" thickBot="1" x14ac:dyDescent="0.35">
      <c r="B11" s="5">
        <v>45331</v>
      </c>
      <c r="C11" s="9">
        <v>1.1071</v>
      </c>
      <c r="D11" s="14">
        <v>1.1047</v>
      </c>
      <c r="E11" s="9">
        <f t="shared" si="0"/>
        <v>2.3999999999999577E-3</v>
      </c>
      <c r="G11" s="16">
        <v>45331</v>
      </c>
      <c r="H11" s="9">
        <v>1.3149</v>
      </c>
      <c r="I11" s="9">
        <v>1.3122</v>
      </c>
      <c r="J11" s="9">
        <f t="shared" si="1"/>
        <v>2.6999999999999247E-3</v>
      </c>
      <c r="K11"/>
      <c r="L11" s="1"/>
      <c r="M11" s="1"/>
      <c r="O11" s="41" t="s">
        <v>38</v>
      </c>
      <c r="P11" s="38">
        <f t="shared" si="3"/>
        <v>5.7599999999997975E-6</v>
      </c>
      <c r="Q11" s="38">
        <f t="shared" si="4"/>
        <v>6.479999999999705E-6</v>
      </c>
      <c r="R11"/>
      <c r="S11" s="53">
        <f t="shared" si="5"/>
        <v>3.3854236370898269E-3</v>
      </c>
      <c r="T11" s="50">
        <f t="shared" si="2"/>
        <v>-6.8542363708990221E-4</v>
      </c>
    </row>
    <row r="12" spans="2:20" ht="15" thickBot="1" x14ac:dyDescent="0.35">
      <c r="B12" s="4" t="s">
        <v>3</v>
      </c>
      <c r="C12" s="9">
        <v>1.1047</v>
      </c>
      <c r="D12" s="14">
        <v>1.1076999999999999</v>
      </c>
      <c r="E12" s="9">
        <f t="shared" si="0"/>
        <v>-2.9999999999998916E-3</v>
      </c>
      <c r="G12" s="11" t="s">
        <v>3</v>
      </c>
      <c r="H12" s="9">
        <v>1.3126</v>
      </c>
      <c r="I12" s="9">
        <v>1.3166</v>
      </c>
      <c r="J12" s="9">
        <f t="shared" si="1"/>
        <v>-4.0000000000000036E-3</v>
      </c>
      <c r="K12"/>
      <c r="L12" s="70" t="s">
        <v>42</v>
      </c>
      <c r="M12" s="71"/>
      <c r="N12" s="1"/>
      <c r="O12" s="39">
        <f>L4*O6</f>
        <v>9.4072500000000163E-3</v>
      </c>
      <c r="P12" s="38">
        <f t="shared" si="3"/>
        <v>8.9999999999993497E-6</v>
      </c>
      <c r="Q12" s="38">
        <f t="shared" si="4"/>
        <v>1.1999999999999577E-5</v>
      </c>
      <c r="R12"/>
      <c r="S12" s="53">
        <f t="shared" si="5"/>
        <v>-2.2653157467496538E-3</v>
      </c>
      <c r="T12" s="50">
        <f t="shared" si="2"/>
        <v>-1.7346842532503497E-3</v>
      </c>
    </row>
    <row r="13" spans="2:20" ht="15" thickBot="1" x14ac:dyDescent="0.35">
      <c r="B13" s="4" t="s">
        <v>4</v>
      </c>
      <c r="C13" s="9">
        <v>1.1076999999999999</v>
      </c>
      <c r="D13" s="14">
        <v>1.1119000000000001</v>
      </c>
      <c r="E13" s="9">
        <f t="shared" si="0"/>
        <v>-4.2000000000002036E-3</v>
      </c>
      <c r="G13" s="11" t="s">
        <v>4</v>
      </c>
      <c r="H13" s="9">
        <v>1.3168</v>
      </c>
      <c r="I13" s="9">
        <v>1.3190999999999999</v>
      </c>
      <c r="J13" s="9">
        <f t="shared" si="1"/>
        <v>-2.2999999999999687E-3</v>
      </c>
      <c r="K13"/>
      <c r="L13" s="81">
        <f>L7-L10</f>
        <v>8.1395519999999351E-6</v>
      </c>
      <c r="M13" s="82"/>
      <c r="O13" s="41" t="s">
        <v>39</v>
      </c>
      <c r="P13" s="38">
        <f t="shared" si="3"/>
        <v>1.7640000000001712E-5</v>
      </c>
      <c r="Q13" s="38">
        <f t="shared" si="4"/>
        <v>9.6600000000003361E-6</v>
      </c>
      <c r="R13"/>
      <c r="S13" s="53">
        <f t="shared" si="5"/>
        <v>-3.5210356098254554E-3</v>
      </c>
      <c r="T13" s="50">
        <f t="shared" si="2"/>
        <v>1.2210356098254866E-3</v>
      </c>
    </row>
    <row r="14" spans="2:20" ht="15" thickBot="1" x14ac:dyDescent="0.35">
      <c r="B14" s="4" t="s">
        <v>5</v>
      </c>
      <c r="C14" s="9">
        <v>1.1120000000000001</v>
      </c>
      <c r="D14" s="14">
        <v>1.1184000000000001</v>
      </c>
      <c r="E14" s="9">
        <f t="shared" si="0"/>
        <v>-6.3999999999999613E-3</v>
      </c>
      <c r="G14" s="11" t="s">
        <v>5</v>
      </c>
      <c r="H14" s="9">
        <v>1.319</v>
      </c>
      <c r="I14" s="9">
        <v>1.3259000000000001</v>
      </c>
      <c r="J14" s="9">
        <f t="shared" si="1"/>
        <v>-6.9000000000001283E-3</v>
      </c>
      <c r="K14"/>
      <c r="L14" s="1"/>
      <c r="M14" s="1"/>
      <c r="N14" s="1"/>
      <c r="O14" s="39">
        <f>SUM(E4:E28)^2</f>
        <v>9.4089999999996506E-5</v>
      </c>
      <c r="P14" s="38">
        <f t="shared" si="3"/>
        <v>4.0959999999999506E-5</v>
      </c>
      <c r="Q14" s="38">
        <f t="shared" si="4"/>
        <v>4.4160000000000553E-5</v>
      </c>
      <c r="R14"/>
      <c r="S14" s="53">
        <f t="shared" si="5"/>
        <v>-5.8231886921302402E-3</v>
      </c>
      <c r="T14" s="50">
        <f t="shared" si="2"/>
        <v>-1.076811307869888E-3</v>
      </c>
    </row>
    <row r="15" spans="2:20" x14ac:dyDescent="0.3">
      <c r="B15" s="4" t="s">
        <v>6</v>
      </c>
      <c r="C15" s="9">
        <v>1.1184000000000001</v>
      </c>
      <c r="D15" s="14">
        <v>1.1161000000000001</v>
      </c>
      <c r="E15" s="9">
        <f t="shared" si="0"/>
        <v>2.2999999999999687E-3</v>
      </c>
      <c r="G15" s="11" t="s">
        <v>6</v>
      </c>
      <c r="H15" s="9">
        <v>1.3254999999999999</v>
      </c>
      <c r="I15" s="9">
        <v>1.319</v>
      </c>
      <c r="J15" s="9">
        <f t="shared" si="1"/>
        <v>6.4999999999999503E-3</v>
      </c>
      <c r="K15"/>
      <c r="L15" s="70" t="s">
        <v>43</v>
      </c>
      <c r="M15" s="71"/>
      <c r="O15" s="36" t="s">
        <v>44</v>
      </c>
      <c r="P15" s="38">
        <f t="shared" si="3"/>
        <v>5.2899999999998562E-6</v>
      </c>
      <c r="Q15" s="38">
        <f t="shared" si="4"/>
        <v>1.4949999999999682E-5</v>
      </c>
      <c r="R15"/>
      <c r="S15" s="53">
        <f t="shared" si="5"/>
        <v>3.2807803151668822E-3</v>
      </c>
      <c r="T15" s="50">
        <f t="shared" si="2"/>
        <v>3.219219684833068E-3</v>
      </c>
    </row>
    <row r="16" spans="2:20" ht="15" thickBot="1" x14ac:dyDescent="0.35">
      <c r="B16" s="4" t="s">
        <v>7</v>
      </c>
      <c r="C16" s="9">
        <v>1.1161000000000001</v>
      </c>
      <c r="D16" s="14">
        <v>1.1188</v>
      </c>
      <c r="E16" s="9">
        <f t="shared" si="0"/>
        <v>-2.6999999999999247E-3</v>
      </c>
      <c r="G16" s="11" t="s">
        <v>7</v>
      </c>
      <c r="H16" s="9">
        <v>1.319</v>
      </c>
      <c r="I16" s="9">
        <v>1.3213999999999999</v>
      </c>
      <c r="J16" s="9">
        <f t="shared" si="1"/>
        <v>-2.3999999999999577E-3</v>
      </c>
      <c r="K16"/>
      <c r="L16" s="85">
        <f>O12-O14</f>
        <v>9.31316000000002E-3</v>
      </c>
      <c r="M16" s="86"/>
      <c r="O16" s="27">
        <f>L4*O10</f>
        <v>1.0056000000000004E-2</v>
      </c>
      <c r="P16" s="38">
        <f t="shared" si="3"/>
        <v>7.2899999999995931E-6</v>
      </c>
      <c r="Q16" s="38">
        <f t="shared" si="4"/>
        <v>6.479999999999705E-6</v>
      </c>
      <c r="R16"/>
      <c r="S16" s="53">
        <f t="shared" si="5"/>
        <v>-1.9513857809808199E-3</v>
      </c>
      <c r="T16" s="50">
        <f t="shared" si="2"/>
        <v>-4.4861421901913785E-4</v>
      </c>
    </row>
    <row r="17" spans="2:20" ht="15" thickBot="1" x14ac:dyDescent="0.35">
      <c r="B17" s="4" t="s">
        <v>8</v>
      </c>
      <c r="C17" s="9">
        <v>1.119</v>
      </c>
      <c r="D17" s="14">
        <v>1.1113</v>
      </c>
      <c r="E17" s="9">
        <f t="shared" si="0"/>
        <v>7.7000000000000401E-3</v>
      </c>
      <c r="G17" s="11" t="s">
        <v>8</v>
      </c>
      <c r="H17" s="9">
        <v>1.3209</v>
      </c>
      <c r="I17" s="9">
        <v>1.3089999999999999</v>
      </c>
      <c r="J17" s="9">
        <f t="shared" si="1"/>
        <v>1.1900000000000022E-2</v>
      </c>
      <c r="K17"/>
      <c r="L17" s="1"/>
      <c r="M17" s="1"/>
      <c r="O17" s="45" t="s">
        <v>53</v>
      </c>
      <c r="P17" s="38">
        <f t="shared" si="3"/>
        <v>5.929000000000062E-5</v>
      </c>
      <c r="Q17" s="38">
        <f t="shared" si="4"/>
        <v>9.1630000000000639E-5</v>
      </c>
      <c r="R17"/>
      <c r="S17" s="53">
        <f t="shared" si="5"/>
        <v>8.9315196990065945E-3</v>
      </c>
      <c r="T17" s="50">
        <f t="shared" si="2"/>
        <v>2.9684803009934271E-3</v>
      </c>
    </row>
    <row r="18" spans="2:20" ht="15" thickBot="1" x14ac:dyDescent="0.35">
      <c r="B18" s="4" t="s">
        <v>9</v>
      </c>
      <c r="C18" s="9">
        <v>1.1112</v>
      </c>
      <c r="D18" s="14">
        <v>1.115</v>
      </c>
      <c r="E18" s="9">
        <f t="shared" si="0"/>
        <v>-3.8000000000000256E-3</v>
      </c>
      <c r="G18" s="11" t="s">
        <v>9</v>
      </c>
      <c r="H18" s="9">
        <v>1.3088</v>
      </c>
      <c r="I18" s="9">
        <v>1.3092999999999999</v>
      </c>
      <c r="J18" s="9">
        <f t="shared" si="1"/>
        <v>-4.9999999999994493E-4</v>
      </c>
      <c r="K18"/>
      <c r="L18" s="70" t="s">
        <v>32</v>
      </c>
      <c r="M18" s="71"/>
      <c r="O18" s="46">
        <f>O4*O8</f>
        <v>3.103999999999902E-4</v>
      </c>
      <c r="P18" s="38">
        <f t="shared" si="3"/>
        <v>1.4440000000000194E-5</v>
      </c>
      <c r="Q18" s="38">
        <f t="shared" si="4"/>
        <v>1.8999999999998035E-6</v>
      </c>
      <c r="R18"/>
      <c r="S18" s="53">
        <f t="shared" si="5"/>
        <v>-3.1024623221334443E-3</v>
      </c>
      <c r="T18" s="50">
        <f t="shared" si="2"/>
        <v>2.6024623221334994E-3</v>
      </c>
    </row>
    <row r="19" spans="2:20" ht="15" thickBot="1" x14ac:dyDescent="0.35">
      <c r="B19" s="4" t="s">
        <v>10</v>
      </c>
      <c r="C19" s="9">
        <v>1.115</v>
      </c>
      <c r="D19" s="14">
        <v>1.1128</v>
      </c>
      <c r="E19" s="9">
        <f t="shared" si="0"/>
        <v>2.1999999999999797E-3</v>
      </c>
      <c r="G19" s="11" t="s">
        <v>10</v>
      </c>
      <c r="H19" s="9">
        <v>1.3091999999999999</v>
      </c>
      <c r="I19" s="9">
        <v>1.3032999999999999</v>
      </c>
      <c r="J19" s="9">
        <f t="shared" si="1"/>
        <v>5.9000000000000163E-3</v>
      </c>
      <c r="K19"/>
      <c r="L19" s="87">
        <f>L13/L16</f>
        <v>8.7398391093892059E-4</v>
      </c>
      <c r="M19" s="88"/>
      <c r="O19" s="49" t="s">
        <v>54</v>
      </c>
      <c r="P19" s="38">
        <f t="shared" si="3"/>
        <v>4.8399999999999113E-6</v>
      </c>
      <c r="Q19" s="38">
        <f t="shared" si="4"/>
        <v>1.2979999999999916E-5</v>
      </c>
      <c r="R19"/>
      <c r="S19" s="53">
        <f t="shared" si="5"/>
        <v>3.1761369932439376E-3</v>
      </c>
      <c r="T19" s="50">
        <f t="shared" si="2"/>
        <v>2.7238630067560787E-3</v>
      </c>
    </row>
    <row r="20" spans="2:20" ht="15" thickBot="1" x14ac:dyDescent="0.35">
      <c r="B20" s="4" t="s">
        <v>11</v>
      </c>
      <c r="C20" s="9">
        <v>1.113</v>
      </c>
      <c r="D20" s="14">
        <v>1.1085</v>
      </c>
      <c r="E20" s="9">
        <f t="shared" si="0"/>
        <v>4.4999999999999485E-3</v>
      </c>
      <c r="G20" s="11" t="s">
        <v>11</v>
      </c>
      <c r="H20" s="9">
        <v>1.3028999999999999</v>
      </c>
      <c r="I20" s="9">
        <v>1.2995000000000001</v>
      </c>
      <c r="J20" s="9">
        <f t="shared" si="1"/>
        <v>3.3999999999998476E-3</v>
      </c>
      <c r="K20"/>
      <c r="L20" s="1"/>
      <c r="M20" s="1"/>
      <c r="O20" s="46">
        <f>O16-O18</f>
        <v>9.745600000000014E-3</v>
      </c>
      <c r="P20" s="38">
        <f t="shared" si="3"/>
        <v>2.0249999999999537E-5</v>
      </c>
      <c r="Q20" s="38">
        <f t="shared" si="4"/>
        <v>1.5299999999999139E-5</v>
      </c>
      <c r="R20"/>
      <c r="S20" s="53">
        <f t="shared" si="5"/>
        <v>5.5829333974718991E-3</v>
      </c>
      <c r="T20" s="50">
        <f t="shared" si="2"/>
        <v>-2.1829333974720515E-3</v>
      </c>
    </row>
    <row r="21" spans="2:20" x14ac:dyDescent="0.3">
      <c r="B21" s="4" t="s">
        <v>12</v>
      </c>
      <c r="C21" s="9">
        <v>1.1085</v>
      </c>
      <c r="D21" s="14">
        <v>1.1024</v>
      </c>
      <c r="E21" s="9">
        <f t="shared" si="0"/>
        <v>6.0999999999999943E-3</v>
      </c>
      <c r="G21" s="11" t="s">
        <v>12</v>
      </c>
      <c r="H21" s="9">
        <v>1.2988</v>
      </c>
      <c r="I21" s="9">
        <v>1.2936000000000001</v>
      </c>
      <c r="J21" s="9">
        <f t="shared" si="1"/>
        <v>5.1999999999998714E-3</v>
      </c>
      <c r="K21"/>
      <c r="L21" s="70" t="s">
        <v>46</v>
      </c>
      <c r="M21" s="71"/>
      <c r="P21" s="38">
        <f t="shared" si="3"/>
        <v>3.720999999999993E-5</v>
      </c>
      <c r="Q21" s="38">
        <f t="shared" si="4"/>
        <v>3.1719999999999188E-5</v>
      </c>
      <c r="R21"/>
      <c r="S21" s="53">
        <f t="shared" si="5"/>
        <v>7.2572265482392468E-3</v>
      </c>
      <c r="T21" s="50">
        <f t="shared" si="2"/>
        <v>-2.0572265482393754E-3</v>
      </c>
    </row>
    <row r="22" spans="2:20" ht="15" thickBot="1" x14ac:dyDescent="0.35">
      <c r="B22" s="4" t="s">
        <v>13</v>
      </c>
      <c r="C22" s="9">
        <v>1.1028</v>
      </c>
      <c r="D22" s="14">
        <v>1.0972</v>
      </c>
      <c r="E22" s="9">
        <f t="shared" si="0"/>
        <v>5.6000000000000494E-3</v>
      </c>
      <c r="G22" s="11" t="s">
        <v>13</v>
      </c>
      <c r="H22" s="9">
        <v>1.2944</v>
      </c>
      <c r="I22" s="9">
        <v>1.2854000000000001</v>
      </c>
      <c r="J22" s="9">
        <f t="shared" si="1"/>
        <v>8.999999999999897E-3</v>
      </c>
      <c r="K22"/>
      <c r="L22" s="89">
        <f>O20/L25</f>
        <v>1.0464332192295627</v>
      </c>
      <c r="M22" s="90"/>
      <c r="P22" s="38">
        <f t="shared" si="3"/>
        <v>3.1360000000000554E-5</v>
      </c>
      <c r="Q22" s="38">
        <f t="shared" si="4"/>
        <v>5.039999999999987E-5</v>
      </c>
      <c r="R22"/>
      <c r="S22" s="53">
        <f t="shared" si="5"/>
        <v>6.7340099386245236E-3</v>
      </c>
      <c r="T22" s="50">
        <f t="shared" si="2"/>
        <v>2.2659900613753734E-3</v>
      </c>
    </row>
    <row r="23" spans="2:20" ht="15" thickBot="1" x14ac:dyDescent="0.35">
      <c r="B23" s="4" t="s">
        <v>14</v>
      </c>
      <c r="C23" s="9">
        <v>1.0971</v>
      </c>
      <c r="D23" s="14">
        <v>1.1012</v>
      </c>
      <c r="E23" s="9">
        <f t="shared" si="0"/>
        <v>-4.0999999999999925E-3</v>
      </c>
      <c r="G23" s="11" t="s">
        <v>14</v>
      </c>
      <c r="H23" s="9">
        <v>1.2850999999999999</v>
      </c>
      <c r="I23" s="9">
        <v>1.2827</v>
      </c>
      <c r="J23" s="9">
        <f t="shared" si="1"/>
        <v>2.3999999999999577E-3</v>
      </c>
      <c r="K23"/>
      <c r="L23" s="1"/>
      <c r="M23" s="1"/>
      <c r="O23" s="55"/>
      <c r="P23" s="38">
        <f t="shared" si="3"/>
        <v>1.6809999999999939E-5</v>
      </c>
      <c r="Q23" s="38">
        <f t="shared" si="4"/>
        <v>-9.8399999999998092E-6</v>
      </c>
      <c r="R23"/>
      <c r="S23" s="53">
        <f t="shared" si="5"/>
        <v>-3.4163922879022783E-3</v>
      </c>
      <c r="T23" s="50">
        <f t="shared" si="2"/>
        <v>5.816392287902236E-3</v>
      </c>
    </row>
    <row r="24" spans="2:20" x14ac:dyDescent="0.3">
      <c r="B24" s="4" t="s">
        <v>15</v>
      </c>
      <c r="C24" s="9">
        <v>1.1012</v>
      </c>
      <c r="D24" s="14">
        <v>1.0992</v>
      </c>
      <c r="E24" s="9">
        <f t="shared" si="0"/>
        <v>2.0000000000000018E-3</v>
      </c>
      <c r="G24" s="11" t="s">
        <v>15</v>
      </c>
      <c r="H24" s="9">
        <v>1.2825</v>
      </c>
      <c r="I24" s="9">
        <v>1.2862</v>
      </c>
      <c r="J24" s="9">
        <f t="shared" si="1"/>
        <v>-3.7000000000000366E-3</v>
      </c>
      <c r="K24"/>
      <c r="L24" s="70" t="s">
        <v>45</v>
      </c>
      <c r="M24" s="71"/>
      <c r="P24" s="38">
        <f t="shared" si="3"/>
        <v>4.0000000000000074E-6</v>
      </c>
      <c r="Q24" s="38">
        <f t="shared" si="4"/>
        <v>-7.4000000000000799E-6</v>
      </c>
      <c r="R24"/>
      <c r="S24" s="53">
        <f t="shared" si="5"/>
        <v>2.9668503493980479E-3</v>
      </c>
      <c r="T24" s="50">
        <f t="shared" si="2"/>
        <v>-6.6668503493980845E-3</v>
      </c>
    </row>
    <row r="25" spans="2:20" ht="15" thickBot="1" x14ac:dyDescent="0.35">
      <c r="B25" s="4" t="s">
        <v>16</v>
      </c>
      <c r="C25" s="9">
        <v>1.0992</v>
      </c>
      <c r="D25" s="14">
        <v>1.0931999999999999</v>
      </c>
      <c r="E25" s="9">
        <f t="shared" si="0"/>
        <v>6.0000000000000053E-3</v>
      </c>
      <c r="G25" s="11" t="s">
        <v>16</v>
      </c>
      <c r="H25" s="9">
        <v>1.2857000000000001</v>
      </c>
      <c r="I25" s="9">
        <v>1.2766</v>
      </c>
      <c r="J25" s="9">
        <f t="shared" si="1"/>
        <v>9.100000000000108E-3</v>
      </c>
      <c r="K25"/>
      <c r="L25" s="85">
        <f>O12-O14</f>
        <v>9.31316000000002E-3</v>
      </c>
      <c r="M25" s="86"/>
      <c r="P25" s="38">
        <f t="shared" si="3"/>
        <v>3.6000000000000062E-5</v>
      </c>
      <c r="Q25" s="38">
        <f t="shared" si="4"/>
        <v>5.4600000000000697E-5</v>
      </c>
      <c r="R25"/>
      <c r="S25" s="53">
        <f t="shared" si="5"/>
        <v>7.1525832263163022E-3</v>
      </c>
      <c r="T25" s="50">
        <f t="shared" si="2"/>
        <v>1.9474167736838058E-3</v>
      </c>
    </row>
    <row r="26" spans="2:20" ht="15" thickBot="1" x14ac:dyDescent="0.35">
      <c r="B26" s="5">
        <v>45634</v>
      </c>
      <c r="C26" s="9">
        <v>1.0931</v>
      </c>
      <c r="D26" s="14">
        <v>1.0914999999999999</v>
      </c>
      <c r="E26" s="9">
        <f t="shared" si="0"/>
        <v>1.6000000000000458E-3</v>
      </c>
      <c r="G26" s="16">
        <v>45634</v>
      </c>
      <c r="H26" s="9">
        <v>1.2764</v>
      </c>
      <c r="I26" s="9">
        <v>1.2757000000000001</v>
      </c>
      <c r="J26" s="9">
        <f t="shared" si="1"/>
        <v>6.9999999999992291E-4</v>
      </c>
      <c r="K26"/>
      <c r="L26" s="91"/>
      <c r="M26" s="91"/>
      <c r="P26" s="38">
        <f t="shared" si="3"/>
        <v>2.5600000000001466E-6</v>
      </c>
      <c r="Q26" s="38">
        <f t="shared" si="4"/>
        <v>1.1199999999999088E-6</v>
      </c>
      <c r="R26"/>
      <c r="S26" s="53">
        <f t="shared" si="5"/>
        <v>2.5482770617062688E-3</v>
      </c>
      <c r="T26" s="50">
        <f t="shared" si="2"/>
        <v>-1.8482770617063459E-3</v>
      </c>
    </row>
    <row r="27" spans="2:20" x14ac:dyDescent="0.3">
      <c r="B27" s="5">
        <v>45543</v>
      </c>
      <c r="C27" s="9">
        <v>1.0915999999999999</v>
      </c>
      <c r="D27" s="14">
        <v>1.0919000000000001</v>
      </c>
      <c r="E27" s="9">
        <f t="shared" si="0"/>
        <v>-3.00000000000189E-4</v>
      </c>
      <c r="G27" s="16">
        <v>45543</v>
      </c>
      <c r="H27" s="9">
        <v>1.2759</v>
      </c>
      <c r="I27" s="9">
        <v>1.2748999999999999</v>
      </c>
      <c r="J27" s="9">
        <f t="shared" si="1"/>
        <v>1.0000000000001119E-3</v>
      </c>
      <c r="K27"/>
      <c r="L27" s="70" t="s">
        <v>47</v>
      </c>
      <c r="M27" s="71"/>
      <c r="P27" s="38">
        <f t="shared" si="3"/>
        <v>9.0000000000113408E-8</v>
      </c>
      <c r="Q27" s="38">
        <f t="shared" si="4"/>
        <v>-3.000000000002226E-7</v>
      </c>
      <c r="R27"/>
      <c r="S27" s="53">
        <f t="shared" si="5"/>
        <v>5.6005394516985408E-4</v>
      </c>
      <c r="T27" s="50">
        <f t="shared" si="2"/>
        <v>4.3994605483025783E-4</v>
      </c>
    </row>
    <row r="28" spans="2:20" ht="15" thickBot="1" x14ac:dyDescent="0.35">
      <c r="B28" s="6">
        <v>45512</v>
      </c>
      <c r="C28" s="10">
        <v>1.0918000000000001</v>
      </c>
      <c r="D28" s="15">
        <v>1.0922000000000001</v>
      </c>
      <c r="E28" s="10">
        <f t="shared" si="0"/>
        <v>-3.9999999999995595E-4</v>
      </c>
      <c r="G28" s="17">
        <v>45512</v>
      </c>
      <c r="H28" s="10">
        <v>1.2746999999999999</v>
      </c>
      <c r="I28" s="10">
        <v>1.2690999999999999</v>
      </c>
      <c r="J28" s="10">
        <f t="shared" si="1"/>
        <v>5.6000000000000494E-3</v>
      </c>
      <c r="K28"/>
      <c r="L28" s="76" cm="1">
        <f t="array" ref="L28">SUM(ABS(T4:T28))/L4</f>
        <v>2.3719763775131597E-3</v>
      </c>
      <c r="M28" s="77"/>
      <c r="P28" s="39">
        <f t="shared" si="3"/>
        <v>1.5999999999996475E-7</v>
      </c>
      <c r="Q28" s="39">
        <f t="shared" si="4"/>
        <v>-2.2399999999997731E-6</v>
      </c>
      <c r="R28"/>
      <c r="S28" s="54">
        <f t="shared" si="5"/>
        <v>4.5541062324714162E-4</v>
      </c>
      <c r="T28" s="43">
        <f t="shared" si="2"/>
        <v>5.1445893767529081E-3</v>
      </c>
    </row>
    <row r="29" spans="2:20" x14ac:dyDescent="0.3">
      <c r="K29"/>
    </row>
    <row r="30" spans="2:20" x14ac:dyDescent="0.3">
      <c r="K30"/>
    </row>
    <row r="31" spans="2:20" x14ac:dyDescent="0.3">
      <c r="K31"/>
    </row>
    <row r="32" spans="2:20" x14ac:dyDescent="0.3">
      <c r="K32"/>
    </row>
    <row r="33" spans="11:11" x14ac:dyDescent="0.3">
      <c r="K33"/>
    </row>
  </sheetData>
  <mergeCells count="20">
    <mergeCell ref="L18:M18"/>
    <mergeCell ref="L21:M21"/>
    <mergeCell ref="L16:M16"/>
    <mergeCell ref="L19:M19"/>
    <mergeCell ref="L28:M28"/>
    <mergeCell ref="L22:M22"/>
    <mergeCell ref="L27:M27"/>
    <mergeCell ref="L24:M24"/>
    <mergeCell ref="L25:M25"/>
    <mergeCell ref="L26:M26"/>
    <mergeCell ref="L10:M10"/>
    <mergeCell ref="L12:M12"/>
    <mergeCell ref="L13:M13"/>
    <mergeCell ref="L7:M7"/>
    <mergeCell ref="L15:M15"/>
    <mergeCell ref="B2:E2"/>
    <mergeCell ref="G2:J2"/>
    <mergeCell ref="L2:M2"/>
    <mergeCell ref="L6:M6"/>
    <mergeCell ref="L9:M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Least Square method</vt:lpstr>
      <vt:lpstr>Regresi Linier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Winarto</dc:creator>
  <cp:lastModifiedBy>Aditya Winarto</cp:lastModifiedBy>
  <dcterms:created xsi:type="dcterms:W3CDTF">2024-10-05T03:28:35Z</dcterms:created>
  <dcterms:modified xsi:type="dcterms:W3CDTF">2024-10-07T03:45:20Z</dcterms:modified>
</cp:coreProperties>
</file>